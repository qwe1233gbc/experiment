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c09dccf1c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入库摘要" sheetId="1" r:id="R0e0802fb9db84516"/>
    <x:sheet xmlns:r="http://schemas.openxmlformats.org/officeDocument/2006/relationships" name="52文件清单" sheetId="2" r:id="Rd48df5d2d2784c70"/>
    <x:sheet xmlns:r="http://schemas.openxmlformats.org/officeDocument/2006/relationships" name="方法对应" sheetId="3" r:id="Rc9068ee5a7c64a2a"/>
    <x:sheet xmlns:r="http://schemas.openxmlformats.org/officeDocument/2006/relationships" name="检索抽检" sheetId="4" r:id="R9b95ed202bed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983ec91b64f8c" /><Relationship Type="http://schemas.openxmlformats.org/officeDocument/2006/relationships/theme" Target="/xl/theme/theme1.xml" Id="R9f0a867c796f4b24" /><Relationship Type="http://schemas.openxmlformats.org/officeDocument/2006/relationships/sharedStrings" Target="/xl/sharedStrings.xml" Id="Rfcf3d65243eb47a8" /><Relationship Type="http://schemas.openxmlformats.org/officeDocument/2006/relationships/worksheet" Target="/xl/worksheets/sheet1.xml" Id="R0e0802fb9db84516" /><Relationship Type="http://schemas.openxmlformats.org/officeDocument/2006/relationships/worksheet" Target="/xl/worksheets/sheet2.xml" Id="Rd48df5d2d2784c70" /><Relationship Type="http://schemas.openxmlformats.org/officeDocument/2006/relationships/worksheet" Target="/xl/worksheets/sheet3.xml" Id="Rc9068ee5a7c64a2a" /><Relationship Type="http://schemas.openxmlformats.org/officeDocument/2006/relationships/worksheet" Target="/xl/worksheets/sheet4.xml" Id="R9b95ed202bed4eda" /></Relationships>
</file>

<file path=xl/tables/table1.xml><?xml version="1.0" encoding="utf-8"?>
<x:table xmlns:x="http://schemas.openxmlformats.org/spreadsheetml/2006/main" id="1" name="SourceManifest" displayName="SourceManifest" ref="A1:H53" headerRowCount="1" totalsRowCount="0" totalsRowShown="0">
  <x:tableColumns count="8">
    <x:tableColumn id="1" name="source_id"/>
    <x:tableColumn id="2" name="source_file"/>
    <x:tableColumn id="3" name="extension"/>
    <x:tableColumn id="4" name="bytes"/>
    <x:tableColumn id="5" name="source_sha256"/>
    <x:tableColumn id="6" name="unit_count"/>
    <x:tableColumn id="7" name="parent_count"/>
    <x:tableColumn id="8" name="child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hodMapping" displayName="MethodMapping" ref="A1:G13" headerRowCount="1" totalsRowCount="0" totalsRowShown="0">
  <x:tableColumns count="7">
    <x:tableColumn id="1" name="环节"/>
    <x:tableColumn id="2" name="章节位置"/>
    <x:tableColumn id="3" name="核心方法"/>
    <x:tableColumn id="4" name="关键参数"/>
    <x:tableColumn id="5" name="是否可借鉴到我的研究"/>
    <x:tableColumn id="6" name="本次实际实现"/>
    <x:tableColumn id="7" name="验收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mokeTests" displayName="SmokeTests" ref="A1:E6" headerRowCount="1" totalsRowCount="0" totalsRowShown="0">
  <x:tableColumns count="5">
    <x:tableColumn id="1" name="Query"/>
    <x:tableColumn id="2" name="预设来源"/>
    <x:tableColumn id="3" name="预设来源是否Top-5"/>
    <x:tableColumn id="4" name="Top-1来源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be5475968c45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755c89cb9148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345d9a028142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4" hidden="0" customWidth="1"/>
  </x:cols>
  <x:sheetData>
    <x:row r="1" ht="30" customHeight="1">
      <x:c r="A1" s="4" t="str">
        <x:v>52份标准全文 RAG 入库验收摘要</x:v>
      </x:c>
      <x:c r="B1" s="4" t="str">
        <x:v>52份标准全文 RAG 入库验收摘要</x:v>
      </x:c>
      <x:c r="C1" s="4" t="str">
        <x:v>52份标准全文 RAG 入库验收摘要</x:v>
      </x:c>
      <x:c r="D1" s="4" t="str">
        <x:v>52份标准全文 RAG 入库验收摘要</x:v>
      </x:c>
    </x:row>
    <x:row r="3">
      <x:c r="A3" s="12" t="str">
        <x:v>指标</x:v>
      </x:c>
      <x:c r="B3" s="12" t="str">
        <x:v>实际值</x:v>
      </x:c>
      <x:c r="C3" s="12" t="str">
        <x:v>验收口径</x:v>
      </x:c>
      <x:c r="D3" s="12" t="str">
        <x:v>结论/备注</x:v>
      </x:c>
    </x:row>
    <x:row r="4">
      <x:c r="A4" s="13" t="str">
        <x:v>全文来源数</x:v>
      </x:c>
      <x:c r="B4" s="13" t="n">
        <x:f>COUNTA('52文件清单'!A2:A53)</x:f>
        <x:v>52</x:v>
      </x:c>
      <x:c r="C4" s="13" t="str">
        <x:v>必须覆盖52份全文</x:v>
      </x:c>
      <x:c r="D4" s="13" t="str">
        <x:v>通过</x:v>
      </x:c>
    </x:row>
    <x:row r="5">
      <x:c r="A5" s="13" t="str">
        <x:v>父块数</x:v>
      </x:c>
      <x:c r="B5" s="13" t="n">
        <x:f>SUM('52文件清单'!G2:G53)</x:f>
        <x:v>336</x:v>
      </x:c>
      <x:c r="C5" s="13" t="str">
        <x:v>父块≤4000 token</x:v>
      </x:c>
      <x:c r="D5" s="13" t="str">
        <x:v>通过</x:v>
      </x:c>
    </x:row>
    <x:row r="6">
      <x:c r="A6" s="13" t="str">
        <x:v>子块数</x:v>
      </x:c>
      <x:c r="B6" s="13" t="n">
        <x:f>SUM('52文件清单'!H2:H53)</x:f>
        <x:v>2875</x:v>
      </x:c>
      <x:c r="C6" s="13" t="str">
        <x:v>子块≤500 token，重叠100 token</x:v>
      </x:c>
      <x:c r="D6" s="13" t="str">
        <x:v>通过</x:v>
      </x:c>
    </x:row>
    <x:row r="7">
      <x:c r="A7" s="13" t="str">
        <x:v>子块向量数</x:v>
      </x:c>
      <x:c r="B7" s="13" t="n">
        <x:f>B6</x:f>
        <x:v>2875</x:v>
      </x:c>
      <x:c r="C7" s="13" t="str">
        <x:v>仅对子块嵌入</x:v>
      </x:c>
      <x:c r="D7" s="13" t="str">
        <x:v>通过</x:v>
      </x:c>
    </x:row>
    <x:row r="8">
      <x:c r="A8" s="13" t="str">
        <x:v>向量维度</x:v>
      </x:c>
      <x:c r="B8" s="13" t="n">
        <x:f>1024</x:f>
        <x:v>1024</x:v>
      </x:c>
      <x:c r="C8" s="13" t="str">
        <x:v>官方推荐通用维度</x:v>
      </x:c>
      <x:c r="D8" s="13" t="str">
        <x:v>通过</x:v>
      </x:c>
    </x:row>
    <x:row r="9">
      <x:c r="A9" s="13" t="str">
        <x:v>全文覆盖校验</x:v>
      </x:c>
      <x:c r="B9" s="13" t="str">
        <x:f>IF(B4=52,"通过","失败")</x:f>
        <x:v>通过</x:v>
      </x:c>
      <x:c r="C9" s="13" t="str">
        <x:v>52/52</x:v>
      </x:c>
      <x:c r="D9" s="13" t="str">
        <x:v>自动公式</x:v>
      </x:c>
    </x:row>
    <x:row r="10">
      <x:c r="A10" s="13" t="str">
        <x:v>向量覆盖校验</x:v>
      </x:c>
      <x:c r="B10" s="13" t="str">
        <x:f>IF(B7=B6,"通过","失败")</x:f>
        <x:v>通过</x:v>
      </x:c>
      <x:c r="C10" s="13" t="str">
        <x:v>向量ID与子块ID逐一一致</x:v>
      </x:c>
      <x:c r="D10" s="13" t="str">
        <x:v>自动公式</x:v>
      </x:c>
    </x:row>
    <x:row r="11">
      <x:c r="A11" s="13" t="str">
        <x:v>嵌入模型</x:v>
      </x:c>
      <x:c r="B11" s="13" t="str">
        <x:f>"text-embedding-v4"</x:f>
        <x:v>text-embedding-v4</x:v>
      </x:c>
      <x:c r="C11" s="13" t="str">
        <x:v>百炼纯文本RAG推荐模型</x:v>
      </x:c>
      <x:c r="D11" s="13" t="str">
        <x:v>1024维稠密向量</x:v>
      </x:c>
    </x:row>
    <x:row r="12">
      <x:c r="A12" s="13" t="str">
        <x:v>API报告Token数</x:v>
      </x:c>
      <x:c r="B12" s="13" t="n">
        <x:f>1325029</x:f>
        <x:v>1325029</x:v>
      </x:c>
      <x:c r="C12" s="13" t="str">
        <x:v>API usage汇总</x:v>
      </x:c>
      <x:c r="D12" s="13" t="str">
        <x:v>不含5条查询抽检</x:v>
      </x:c>
    </x:row>
    <x:row r="13">
      <x:c r="A13" s="13" t="str">
        <x:v>公开原价估算（元）</x:v>
      </x:c>
      <x:c r="B13" s="15" t="n">
        <x:f>B12/1000000*0.5</x:f>
        <x:v>0.6625145</x:v>
      </x:c>
      <x:c r="C13" s="13" t="str">
        <x:v>0.5元/百万tokens，仅作估算</x:v>
      </x:c>
      <x:c r="D13" s="13" t="str">
        <x:v>不代表实际账单/优惠后费用</x:v>
      </x:c>
    </x:row>
    <x:row r="14">
      <x:c r="A14" s="13" t="str">
        <x:v>混合检索预设源Top-5命中</x:v>
      </x:c>
      <x:c r="B14" s="16" t="n">
        <x:f>4/5</x:f>
        <x:v>0.8</x:v>
      </x:c>
      <x:c r="C14" s="13" t="str">
        <x:v>精确预设标准源命中率</x:v>
      </x:c>
      <x:c r="D14" s="13" t="str">
        <x:v>4/5；VOCs题由行业速查指南排第1</x:v>
      </x:c>
    </x:row>
    <x:row r="15">
      <x:c r="A15" s="14"/>
      <x:c r="B15" s="14"/>
      <x:c r="C15" s="14"/>
      <x:c r="D15" s="14"/>
    </x:row>
    <x:row r="16">
      <x:c r="A16" s="12" t="str">
        <x:v>入库组件</x:v>
      </x:c>
      <x:c r="B16" s="12" t="str">
        <x:v>文件/目录</x:v>
      </x:c>
      <x:c r="C16" s="12" t="str">
        <x:v>用途</x:v>
      </x:c>
      <x:c r="D16" s="12" t="str">
        <x:v>状态</x:v>
      </x:c>
    </x:row>
    <x:row r="17">
      <x:c r="A17" s="13" t="str">
        <x:v>父子块</x:v>
      </x:c>
      <x:c r="B17" s="13" t="str">
        <x:v>06_标准全文父子分块_52文件</x:v>
      </x:c>
      <x:c r="C17" s="13" t="str">
        <x:v>子块召回后按parent_id扩展上下文</x:v>
      </x:c>
      <x:c r="D17" s="13" t="str">
        <x:v>完成</x:v>
      </x:c>
    </x:row>
    <x:row r="18">
      <x:c r="A18" s="13" t="str">
        <x:v>子块向量</x:v>
      </x:c>
      <x:c r="B18" s="13" t="str">
        <x:v>07_标准全文子块向量_text-embedding-v4_1024</x:v>
      </x:c>
      <x:c r="C18" s="13" t="str">
        <x:v>2875×1024稠密向量</x:v>
      </x:c>
      <x:c r="D18" s="13" t="str">
        <x:v>完成</x:v>
      </x:c>
    </x:row>
    <x:row r="19">
      <x:c r="A19" s="13" t="str">
        <x:v>混合索引</x:v>
      </x:c>
      <x:c r="B19" s="13" t="str">
        <x:v>08_标准全文混合检索索引</x:v>
      </x:c>
      <x:c r="C19" s="13" t="str">
        <x:v>FAISS余弦 + BM25 + 父块回溯</x:v>
      </x:c>
      <x:c r="D19" s="13" t="str">
        <x:v>完成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12" hidden="0" customWidth="1"/>
    <x:col min="4" max="4" width="14" hidden="0" customWidth="1"/>
    <x:col min="5" max="5" width="68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0" t="str">
        <x:v>source_id</x:v>
      </x:c>
      <x:c r="B1" s="20" t="str">
        <x:v>source_file</x:v>
      </x:c>
      <x:c r="C1" s="20" t="str">
        <x:v>extension</x:v>
      </x:c>
      <x:c r="D1" s="20" t="str">
        <x:v>bytes</x:v>
      </x:c>
      <x:c r="E1" s="20" t="str">
        <x:v>source_sha256</x:v>
      </x:c>
      <x:c r="F1" s="20" t="str">
        <x:v>unit_count</x:v>
      </x:c>
      <x:c r="G1" s="20" t="str">
        <x:v>parent_count</x:v>
      </x:c>
      <x:c r="H1" s="20" t="str">
        <x:v>child_count</x:v>
      </x:c>
    </x:row>
    <x:row r="2">
      <x:c r="A2" s="13" t="str">
        <x:v>SRC001</x:v>
      </x:c>
      <x:c r="B2" s="13" t="str">
        <x:v>#10_产污系数定量核算指南.md</x:v>
      </x:c>
      <x:c r="C2" s="13" t="str">
        <x:v>.md</x:v>
      </x:c>
      <x:c r="D2" s="13" t="n">
        <x:v>562</x:v>
      </x:c>
      <x:c r="E2" s="13" t="str">
        <x:v>a1954b843790fd2ec5fa734a3e8de8a56b08e317ed51ddd9f64f7f84f16137be</x:v>
      </x:c>
      <x:c r="F2" s="13" t="n">
        <x:v>4</x:v>
      </x:c>
      <x:c r="G2" s="13" t="n">
        <x:v>1</x:v>
      </x:c>
      <x:c r="H2" s="13" t="n">
        <x:v>1</x:v>
      </x:c>
    </x:row>
    <x:row r="3">
      <x:c r="A3" s="13" t="str">
        <x:v>SRC002</x:v>
      </x:c>
      <x:c r="B3" s="13" t="str">
        <x:v>#17_废气收集形式及排气量计算指南.md</x:v>
      </x:c>
      <x:c r="C3" s="13" t="str">
        <x:v>.md</x:v>
      </x:c>
      <x:c r="D3" s="13" t="n">
        <x:v>624</x:v>
      </x:c>
      <x:c r="E3" s="13" t="str">
        <x:v>152add41393fd50fce1145fddd0523d1fb00546a8b899a3230073fe246e52f19</x:v>
      </x:c>
      <x:c r="F3" s="13" t="n">
        <x:v>5</x:v>
      </x:c>
      <x:c r="G3" s="13" t="n">
        <x:v>1</x:v>
      </x:c>
      <x:c r="H3" s="13" t="n">
        <x:v>1</x:v>
      </x:c>
    </x:row>
    <x:row r="4">
      <x:c r="A4" s="13" t="str">
        <x:v>SRC003</x:v>
      </x:c>
      <x:c r="B4" s="13" t="str">
        <x:v>#18_废气收集风量与设计风量核算指南.md</x:v>
      </x:c>
      <x:c r="C4" s="13" t="str">
        <x:v>.md</x:v>
      </x:c>
      <x:c r="D4" s="13" t="n">
        <x:v>552</x:v>
      </x:c>
      <x:c r="E4" s="13" t="str">
        <x:v>4a4c7ec76f6014ccfbf944a84e31d4047a8db105654b0abc9e32d56c9a336d88</x:v>
      </x:c>
      <x:c r="F4" s="13" t="n">
        <x:v>5</x:v>
      </x:c>
      <x:c r="G4" s="13" t="n">
        <x:v>1</x:v>
      </x:c>
      <x:c r="H4" s="13" t="n">
        <x:v>1</x:v>
      </x:c>
    </x:row>
    <x:row r="5">
      <x:c r="A5" s="13" t="str">
        <x:v>SRC004</x:v>
      </x:c>
      <x:c r="B5" s="13" t="str">
        <x:v>#19_废气收集效率判定指南.md</x:v>
      </x:c>
      <x:c r="C5" s="13" t="str">
        <x:v>.md</x:v>
      </x:c>
      <x:c r="D5" s="13" t="n">
        <x:v>699</x:v>
      </x:c>
      <x:c r="E5" s="13" t="str">
        <x:v>dccd6026c060ab606f4dec98ca714b44dd46658a6f48718d6d04370d84e82d6e</x:v>
      </x:c>
      <x:c r="F5" s="13" t="n">
        <x:v>4</x:v>
      </x:c>
      <x:c r="G5" s="13" t="n">
        <x:v>1</x:v>
      </x:c>
      <x:c r="H5" s="13" t="n">
        <x:v>1</x:v>
      </x:c>
    </x:row>
    <x:row r="6">
      <x:c r="A6" s="13" t="str">
        <x:v>SRC005</x:v>
      </x:c>
      <x:c r="B6" s="13" t="str">
        <x:v>#2_环评投资核算指南.md</x:v>
      </x:c>
      <x:c r="C6" s="13" t="str">
        <x:v>.md</x:v>
      </x:c>
      <x:c r="D6" s="13" t="n">
        <x:v>366</x:v>
      </x:c>
      <x:c r="E6" s="13" t="str">
        <x:v>148e5c9d9c991c671536192f19d8f3334be73b64af88e775d49d56f6db1c3c0d</x:v>
      </x:c>
      <x:c r="F6" s="13" t="n">
        <x:v>4</x:v>
      </x:c>
      <x:c r="G6" s="13" t="n">
        <x:v>1</x:v>
      </x:c>
      <x:c r="H6" s="13" t="n">
        <x:v>1</x:v>
      </x:c>
    </x:row>
    <x:row r="7">
      <x:c r="A7" s="13" t="str">
        <x:v>SRC006</x:v>
      </x:c>
      <x:c r="B7" s="13" t="str">
        <x:v>#5_建设内容编制完整性指南.md</x:v>
      </x:c>
      <x:c r="C7" s="13" t="str">
        <x:v>.md</x:v>
      </x:c>
      <x:c r="D7" s="13" t="n">
        <x:v>485</x:v>
      </x:c>
      <x:c r="E7" s="13" t="str">
        <x:v>ab0dc732b7706c63febf091905f686d9d3e507b042961ed9b9478bbc52a1b859</x:v>
      </x:c>
      <x:c r="F7" s="13" t="n">
        <x:v>4</x:v>
      </x:c>
      <x:c r="G7" s="13" t="n">
        <x:v>1</x:v>
      </x:c>
      <x:c r="H7" s="13" t="n">
        <x:v>1</x:v>
      </x:c>
    </x:row>
    <x:row r="8">
      <x:c r="A8" s="13" t="str">
        <x:v>SRC007</x:v>
      </x:c>
      <x:c r="B8" s="13" t="str">
        <x:v>#6_2023年佛山市顺德区生态环境状态公报.txt</x:v>
      </x:c>
      <x:c r="C8" s="13" t="str">
        <x:v>.txt</x:v>
      </x:c>
      <x:c r="D8" s="13" t="n">
        <x:v>3561</x:v>
      </x:c>
      <x:c r="E8" s="13" t="str">
        <x:v>31487d7dc5ced8cfbbfab120035556d15d9bc1a5fcab62828c437762ed60b0d9</x:v>
      </x:c>
      <x:c r="F8" s="13" t="n">
        <x:v>1</x:v>
      </x:c>
      <x:c r="G8" s="13" t="n">
        <x:v>1</x:v>
      </x:c>
      <x:c r="H8" s="13" t="n">
        <x:v>3</x:v>
      </x:c>
    </x:row>
    <x:row r="9">
      <x:c r="A9" s="13" t="str">
        <x:v>SRC008</x:v>
      </x:c>
      <x:c r="B9" s="13" t="str">
        <x:v>#6_2024年佛山市顺德区生态环境状态公报.txt</x:v>
      </x:c>
      <x:c r="C9" s="13" t="str">
        <x:v>.txt</x:v>
      </x:c>
      <x:c r="D9" s="13" t="n">
        <x:v>3138</x:v>
      </x:c>
      <x:c r="E9" s="13" t="str">
        <x:v>70d6a0966106900a6ffe428ccf1b986480fe68f5b5ba420f829e2d9eca9e236d</x:v>
      </x:c>
      <x:c r="F9" s="13" t="n">
        <x:v>1</x:v>
      </x:c>
      <x:c r="G9" s="13" t="n">
        <x:v>1</x:v>
      </x:c>
      <x:c r="H9" s="13" t="n">
        <x:v>3</x:v>
      </x:c>
    </x:row>
    <x:row r="10">
      <x:c r="A10" s="13" t="str">
        <x:v>SRC009</x:v>
      </x:c>
      <x:c r="B10" s="13" t="str">
        <x:v>#7_GB12348噪声排放限值.md</x:v>
      </x:c>
      <x:c r="C10" s="13" t="str">
        <x:v>.md</x:v>
      </x:c>
      <x:c r="D10" s="13" t="n">
        <x:v>143</x:v>
      </x:c>
      <x:c r="E10" s="13" t="str">
        <x:v>cd428b8178c03d3743cb4e05d8bbac3c4c40a6909863ea0da59d538519df0534</x:v>
      </x:c>
      <x:c r="F10" s="13" t="n">
        <x:v>1</x:v>
      </x:c>
      <x:c r="G10" s="13" t="n">
        <x:v>1</x:v>
      </x:c>
      <x:c r="H10" s="13" t="n">
        <x:v>1</x:v>
      </x:c>
    </x:row>
    <x:row r="11">
      <x:c r="A11" s="13" t="str">
        <x:v>SRC010</x:v>
      </x:c>
      <x:c r="B11" s="13" t="str">
        <x:v>#7_收纳水体地表水执行标准.csv</x:v>
      </x:c>
      <x:c r="C11" s="13" t="str">
        <x:v>.csv</x:v>
      </x:c>
      <x:c r="D11" s="13" t="n">
        <x:v>6809</x:v>
      </x:c>
      <x:c r="E11" s="13" t="str">
        <x:v>9d11719ae7e5e9e901f73984ecf2059f9568fbc6bd70e0d9bd727203008116ac</x:v>
      </x:c>
      <x:c r="F11" s="13" t="n">
        <x:v>101</x:v>
      </x:c>
      <x:c r="G11" s="13" t="n">
        <x:v>2</x:v>
      </x:c>
      <x:c r="H11" s="13" t="n">
        <x:v>19</x:v>
      </x:c>
    </x:row>
    <x:row r="12">
      <x:c r="A12" s="13" t="str">
        <x:v>SRC011</x:v>
      </x:c>
      <x:c r="B12" s="13" t="str">
        <x:v>#7_环境质量标准限值速查.md</x:v>
      </x:c>
      <x:c r="C12" s="13" t="str">
        <x:v>.md</x:v>
      </x:c>
      <x:c r="D12" s="13" t="n">
        <x:v>15425</x:v>
      </x:c>
      <x:c r="E12" s="13" t="str">
        <x:v>3f4db8f509f1fa0a545a54c6a4a93ac45cf0763b89c87961e6985e7ee320ab87</x:v>
      </x:c>
      <x:c r="F12" s="13" t="n">
        <x:v>6</x:v>
      </x:c>
      <x:c r="G12" s="13" t="n">
        <x:v>3</x:v>
      </x:c>
      <x:c r="H12" s="13" t="n">
        <x:v>14</x:v>
      </x:c>
    </x:row>
    <x:row r="13">
      <x:c r="A13" s="13" t="str">
        <x:v>SRC012</x:v>
      </x:c>
      <x:c r="B13" s="13" t="str">
        <x:v>#8_GB31572表4排放限值.md</x:v>
      </x:c>
      <x:c r="C13" s="13" t="str">
        <x:v>.md</x:v>
      </x:c>
      <x:c r="D13" s="13" t="n">
        <x:v>2166</x:v>
      </x:c>
      <x:c r="E13" s="13" t="str">
        <x:v>2bce5e33461ba4c8376e1de66d4878ef75de16a0335b380d5d5eb5ea0b4dae41</x:v>
      </x:c>
      <x:c r="F13" s="13" t="n">
        <x:v>1</x:v>
      </x:c>
      <x:c r="G13" s="13" t="n">
        <x:v>1</x:v>
      </x:c>
      <x:c r="H13" s="13" t="n">
        <x:v>3</x:v>
      </x:c>
    </x:row>
    <x:row r="14">
      <x:c r="A14" s="13" t="str">
        <x:v>SRC013</x:v>
      </x:c>
      <x:c r="B14" s="13" t="str">
        <x:v>#8_塑料制品业典型污染源及执行标准.csv</x:v>
      </x:c>
      <x:c r="C14" s="13" t="str">
        <x:v>.csv</x:v>
      </x:c>
      <x:c r="D14" s="13" t="n">
        <x:v>7067</x:v>
      </x:c>
      <x:c r="E14" s="13" t="str">
        <x:v>c3ebd6ecb3a314ee2b1ce3478eafb224c1a0f8c7999e2cb5bb939db995fd8e15</x:v>
      </x:c>
      <x:c r="F14" s="13" t="n">
        <x:v>15</x:v>
      </x:c>
      <x:c r="G14" s="13" t="n">
        <x:v>1</x:v>
      </x:c>
      <x:c r="H14" s="13" t="n">
        <x:v>8</x:v>
      </x:c>
    </x:row>
    <x:row r="15">
      <x:c r="A15" s="13" t="str">
        <x:v>SRC014</x:v>
      </x:c>
      <x:c r="B15" s="13" t="str">
        <x:v>#8_塑料制品业典型污染源及执行标准.md</x:v>
      </x:c>
      <x:c r="C15" s="13" t="str">
        <x:v>.md</x:v>
      </x:c>
      <x:c r="D15" s="13" t="n">
        <x:v>3519</x:v>
      </x:c>
      <x:c r="E15" s="13" t="str">
        <x:v>ebd01f6c56f8107ba3b29be2186931040170619ca9cdfa8f62cdc040f0bc4a4c</x:v>
      </x:c>
      <x:c r="F15" s="13" t="n">
        <x:v>1</x:v>
      </x:c>
      <x:c r="G15" s="13" t="n">
        <x:v>1</x:v>
      </x:c>
      <x:c r="H15" s="13" t="n">
        <x:v>3</x:v>
      </x:c>
    </x:row>
    <x:row r="16">
      <x:c r="A16" s="13" t="str">
        <x:v>SRC015</x:v>
      </x:c>
      <x:c r="B16" s="13" t="str">
        <x:v>#9_塑料制品业产污系数_废气.json</x:v>
      </x:c>
      <x:c r="C16" s="13" t="str">
        <x:v>.json</x:v>
      </x:c>
      <x:c r="D16" s="13" t="n">
        <x:v>201002</x:v>
      </x:c>
      <x:c r="E16" s="13" t="str">
        <x:v>e7a25dde2f705caa4045893877c85d025adf6a1867db1ffd59183ad3311faae7</x:v>
      </x:c>
      <x:c r="F16" s="13" t="n">
        <x:v>235</x:v>
      </x:c>
      <x:c r="G16" s="13" t="n">
        <x:v>17</x:v>
      </x:c>
      <x:c r="H16" s="13" t="n">
        <x:v>165</x:v>
      </x:c>
    </x:row>
    <x:row r="17">
      <x:c r="A17" s="13" t="str">
        <x:v>SRC016</x:v>
      </x:c>
      <x:c r="B17" s="13" t="str">
        <x:v>#9_塑料制品业产污系数_废气_速查.md</x:v>
      </x:c>
      <x:c r="C17" s="13" t="str">
        <x:v>.md</x:v>
      </x:c>
      <x:c r="D17" s="13" t="n">
        <x:v>5686</x:v>
      </x:c>
      <x:c r="E17" s="13" t="str">
        <x:v>43dacc3eee243a04b8650d0636360a69704053a07542de9b5f24ab6d130eacab</x:v>
      </x:c>
      <x:c r="F17" s="13" t="n">
        <x:v>5</x:v>
      </x:c>
      <x:c r="G17" s="13" t="n">
        <x:v>1</x:v>
      </x:c>
      <x:c r="H17" s="13" t="n">
        <x:v>5</x:v>
      </x:c>
    </x:row>
    <x:row r="18">
      <x:c r="A18" s="13" t="str">
        <x:v>SRC017</x:v>
      </x:c>
      <x:c r="B18" s="13" t="str">
        <x:v>DB44_2367-2022.md</x:v>
      </x:c>
      <x:c r="C18" s="13" t="str">
        <x:v>.md</x:v>
      </x:c>
      <x:c r="D18" s="13" t="n">
        <x:v>40953</x:v>
      </x:c>
      <x:c r="E18" s="13" t="str">
        <x:v>264cf199c9dca85e5d525be0c853071c31b0129cc5969827d462045ab2ee20c3</x:v>
      </x:c>
      <x:c r="F18" s="13" t="n">
        <x:v>370</x:v>
      </x:c>
      <x:c r="G18" s="13" t="n">
        <x:v>6</x:v>
      </x:c>
      <x:c r="H18" s="13" t="n">
        <x:v>59</x:v>
      </x:c>
    </x:row>
    <x:row r="19">
      <x:c r="A19" s="13" t="str">
        <x:v>SRC018</x:v>
      </x:c>
      <x:c r="B19" s="13" t="str">
        <x:v>DB44_26-2001.md</x:v>
      </x:c>
      <x:c r="C19" s="13" t="str">
        <x:v>.md</x:v>
      </x:c>
      <x:c r="D19" s="13" t="n">
        <x:v>53074</x:v>
      </x:c>
      <x:c r="E19" s="13" t="str">
        <x:v>d42d2a095e0e9879a365309e94c4ef56b2052570307858a62f3a93d495d0fe9f</x:v>
      </x:c>
      <x:c r="F19" s="13" t="n">
        <x:v>117</x:v>
      </x:c>
      <x:c r="G19" s="13" t="n">
        <x:v>7</x:v>
      </x:c>
      <x:c r="H19" s="13" t="n">
        <x:v>59</x:v>
      </x:c>
    </x:row>
    <x:row r="20">
      <x:c r="A20" s="13" t="str">
        <x:v>SRC019</x:v>
      </x:c>
      <x:c r="B20" s="13" t="str">
        <x:v>DB44_27-2001.md</x:v>
      </x:c>
      <x:c r="C20" s="13" t="str">
        <x:v>.md</x:v>
      </x:c>
      <x:c r="D20" s="13" t="n">
        <x:v>50974</x:v>
      </x:c>
      <x:c r="E20" s="13" t="str">
        <x:v>3408257edf02cb6d7fa324cd848cf8521277c659243cc19c950b3b66f7b62380</x:v>
      </x:c>
      <x:c r="F20" s="13" t="n">
        <x:v>127</x:v>
      </x:c>
      <x:c r="G20" s="13" t="n">
        <x:v>6</x:v>
      </x:c>
      <x:c r="H20" s="13" t="n">
        <x:v>50</x:v>
      </x:c>
    </x:row>
    <x:row r="21">
      <x:c r="A21" s="13" t="str">
        <x:v>SRC020</x:v>
      </x:c>
      <x:c r="B21" s="13" t="str">
        <x:v>DB44_814-2010.md</x:v>
      </x:c>
      <x:c r="C21" s="13" t="str">
        <x:v>.md</x:v>
      </x:c>
      <x:c r="D21" s="13" t="n">
        <x:v>18897</x:v>
      </x:c>
      <x:c r="E21" s="13" t="str">
        <x:v>83ed57049f431197fe3d6ce48fe3cdb5d54db7941f85b6b04fb8685cb57db417</x:v>
      </x:c>
      <x:c r="F21" s="13" t="n">
        <x:v>198</x:v>
      </x:c>
      <x:c r="G21" s="13" t="n">
        <x:v>3</x:v>
      </x:c>
      <x:c r="H21" s="13" t="n">
        <x:v>28</x:v>
      </x:c>
    </x:row>
    <x:row r="22">
      <x:c r="A22" s="13" t="str">
        <x:v>SRC021</x:v>
      </x:c>
      <x:c r="B22" s="13" t="str">
        <x:v>DB44_815-2010.md</x:v>
      </x:c>
      <x:c r="C22" s="13" t="str">
        <x:v>.md</x:v>
      </x:c>
      <x:c r="D22" s="13" t="n">
        <x:v>28651</x:v>
      </x:c>
      <x:c r="E22" s="13" t="str">
        <x:v>b13ee07dcf6016e3e8c1d0afdb24a00b6f1f10673719734068fadc1250cd54f5</x:v>
      </x:c>
      <x:c r="F22" s="13" t="n">
        <x:v>278</x:v>
      </x:c>
      <x:c r="G22" s="13" t="n">
        <x:v>5</x:v>
      </x:c>
      <x:c r="H22" s="13" t="n">
        <x:v>41</x:v>
      </x:c>
    </x:row>
    <x:row r="23">
      <x:c r="A23" s="13" t="str">
        <x:v>SRC022</x:v>
      </x:c>
      <x:c r="B23" s="13" t="str">
        <x:v>DIFY_KB_INDEX.md</x:v>
      </x:c>
      <x:c r="C23" s="13" t="str">
        <x:v>.md</x:v>
      </x:c>
      <x:c r="D23" s="13" t="n">
        <x:v>2195</x:v>
      </x:c>
      <x:c r="E23" s="13" t="str">
        <x:v>8d1dcf777240ab8c4c4f8feeaba81259630da075e58814560e7743a79a68121a</x:v>
      </x:c>
      <x:c r="F23" s="13" t="n">
        <x:v>16</x:v>
      </x:c>
      <x:c r="G23" s="13" t="n">
        <x:v>1</x:v>
      </x:c>
      <x:c r="H23" s="13" t="n">
        <x:v>3</x:v>
      </x:c>
    </x:row>
    <x:row r="24">
      <x:c r="A24" s="13" t="str">
        <x:v>SRC023</x:v>
      </x:c>
      <x:c r="B24" s="13" t="str">
        <x:v>GB_12348-2008.md</x:v>
      </x:c>
      <x:c r="C24" s="13" t="str">
        <x:v>.md</x:v>
      </x:c>
      <x:c r="D24" s="13" t="n">
        <x:v>16412</x:v>
      </x:c>
      <x:c r="E24" s="13" t="str">
        <x:v>d8b1ab8db64013c43ed7f93de0a6534974cbf210cbfdfda47ab87ea6513b42c5</x:v>
      </x:c>
      <x:c r="F24" s="13" t="n">
        <x:v>125</x:v>
      </x:c>
      <x:c r="G24" s="13" t="n">
        <x:v>2</x:v>
      </x:c>
      <x:c r="H24" s="13" t="n">
        <x:v>17</x:v>
      </x:c>
    </x:row>
    <x:row r="25">
      <x:c r="A25" s="13" t="str">
        <x:v>SRC024</x:v>
      </x:c>
      <x:c r="B25" s="13" t="str">
        <x:v>GB_14554-93.md</x:v>
      </x:c>
      <x:c r="C25" s="13" t="str">
        <x:v>.md</x:v>
      </x:c>
      <x:c r="D25" s="13" t="n">
        <x:v>10710</x:v>
      </x:c>
      <x:c r="E25" s="13" t="str">
        <x:v>ec30cff8b2856a700618017a7f2b548111b9e421df18959bfd88f8ef6fb55dd7</x:v>
      </x:c>
      <x:c r="F25" s="13" t="n">
        <x:v>71</x:v>
      </x:c>
      <x:c r="G25" s="13" t="n">
        <x:v>2</x:v>
      </x:c>
      <x:c r="H25" s="13" t="n">
        <x:v>13</x:v>
      </x:c>
    </x:row>
    <x:row r="26">
      <x:c r="A26" s="13" t="str">
        <x:v>SRC025</x:v>
      </x:c>
      <x:c r="B26" s="13" t="str">
        <x:v>GB_16297-1996.md</x:v>
      </x:c>
      <x:c r="C26" s="13" t="str">
        <x:v>.md</x:v>
      </x:c>
      <x:c r="D26" s="13" t="n">
        <x:v>48059</x:v>
      </x:c>
      <x:c r="E26" s="13" t="str">
        <x:v>61f707c466831caa53082a360cd5af37f595e1a9b21ce95f74e89e76f29bbf10</x:v>
      </x:c>
      <x:c r="F26" s="13" t="n">
        <x:v>159</x:v>
      </x:c>
      <x:c r="G26" s="13" t="n">
        <x:v>6</x:v>
      </x:c>
      <x:c r="H26" s="13" t="n">
        <x:v>53</x:v>
      </x:c>
    </x:row>
    <x:row r="27">
      <x:c r="A27" s="13" t="str">
        <x:v>SRC026</x:v>
      </x:c>
      <x:c r="B27" s="13" t="str">
        <x:v>GB_18597-2023.md</x:v>
      </x:c>
      <x:c r="C27" s="13" t="str">
        <x:v>.md</x:v>
      </x:c>
      <x:c r="D27" s="13" t="n">
        <x:v>20220</x:v>
      </x:c>
      <x:c r="E27" s="13" t="str">
        <x:v>805c19df30859a20df99ca05f13ac2f3484fe36c3d568b243d1b29fdd82d74bf</x:v>
      </x:c>
      <x:c r="F27" s="13" t="n">
        <x:v>134</x:v>
      </x:c>
      <x:c r="G27" s="13" t="n">
        <x:v>2</x:v>
      </x:c>
      <x:c r="H27" s="13" t="n">
        <x:v>19</x:v>
      </x:c>
    </x:row>
    <x:row r="28">
      <x:c r="A28" s="13" t="str">
        <x:v>SRC027</x:v>
      </x:c>
      <x:c r="B28" s="13" t="str">
        <x:v>GB_18599-2020.md</x:v>
      </x:c>
      <x:c r="C28" s="13" t="str">
        <x:v>.md</x:v>
      </x:c>
      <x:c r="D28" s="13" t="n">
        <x:v>26764</x:v>
      </x:c>
      <x:c r="E28" s="13" t="str">
        <x:v>bfe9daafab090c164d291523bb33411fa1893c71e0eff2a6af162542db44a35b</x:v>
      </x:c>
      <x:c r="F28" s="13" t="n">
        <x:v>137</x:v>
      </x:c>
      <x:c r="G28" s="13" t="n">
        <x:v>3</x:v>
      </x:c>
      <x:c r="H28" s="13" t="n">
        <x:v>25</x:v>
      </x:c>
    </x:row>
    <x:row r="29">
      <x:c r="A29" s="13" t="str">
        <x:v>SRC028</x:v>
      </x:c>
      <x:c r="B29" s="13" t="str">
        <x:v>GB_3095-2012.md</x:v>
      </x:c>
      <x:c r="C29" s="13" t="str">
        <x:v>.md</x:v>
      </x:c>
      <x:c r="D29" s="13" t="n">
        <x:v>19189</x:v>
      </x:c>
      <x:c r="E29" s="13" t="str">
        <x:v>cb39c81db4410d07d47df6ee57f3962b1ee80070859d164246fae4532b60b95d</x:v>
      </x:c>
      <x:c r="F29" s="13" t="n">
        <x:v>85</x:v>
      </x:c>
      <x:c r="G29" s="13" t="n">
        <x:v>2</x:v>
      </x:c>
      <x:c r="H29" s="13" t="n">
        <x:v>18</x:v>
      </x:c>
    </x:row>
    <x:row r="30">
      <x:c r="A30" s="13" t="str">
        <x:v>SRC029</x:v>
      </x:c>
      <x:c r="B30" s="13" t="str">
        <x:v>GB_3096-2008.md</x:v>
      </x:c>
      <x:c r="C30" s="13" t="str">
        <x:v>.md</x:v>
      </x:c>
      <x:c r="D30" s="13" t="n">
        <x:v>28688</x:v>
      </x:c>
      <x:c r="E30" s="13" t="str">
        <x:v>8a730ba3830b721e7f81b752c47547a2d24ae1c9327550fd472f123586b19ed0</x:v>
      </x:c>
      <x:c r="F30" s="13" t="n">
        <x:v>257</x:v>
      </x:c>
      <x:c r="G30" s="13" t="n">
        <x:v>4</x:v>
      </x:c>
      <x:c r="H30" s="13" t="n">
        <x:v>39</x:v>
      </x:c>
    </x:row>
    <x:row r="31">
      <x:c r="A31" s="13" t="str">
        <x:v>SRC030</x:v>
      </x:c>
      <x:c r="B31" s="13" t="str">
        <x:v>GB_31572-2015.md</x:v>
      </x:c>
      <x:c r="C31" s="13" t="str">
        <x:v>.md</x:v>
      </x:c>
      <x:c r="D31" s="13" t="n">
        <x:v>59624</x:v>
      </x:c>
      <x:c r="E31" s="13" t="str">
        <x:v>6832b4a13d2dbdd0eec35f9cfa2681950d32d7ec0dfb08a5ec3ab0772f632fe5</x:v>
      </x:c>
      <x:c r="F31" s="13" t="n">
        <x:v>214</x:v>
      </x:c>
      <x:c r="G31" s="13" t="n">
        <x:v>8</x:v>
      </x:c>
      <x:c r="H31" s="13" t="n">
        <x:v>67</x:v>
      </x:c>
    </x:row>
    <x:row r="32">
      <x:c r="A32" s="13" t="str">
        <x:v>SRC031</x:v>
      </x:c>
      <x:c r="B32" s="13" t="str">
        <x:v>GB_33372-2020.md</x:v>
      </x:c>
      <x:c r="C32" s="13" t="str">
        <x:v>.md</x:v>
      </x:c>
      <x:c r="D32" s="13" t="n">
        <x:v>33873</x:v>
      </x:c>
      <x:c r="E32" s="13" t="str">
        <x:v>838e54d4c54fb891d3cf9c3d33404ed44ccbe4a7d9c06a5655b2b712944ec867</x:v>
      </x:c>
      <x:c r="F32" s="13" t="n">
        <x:v>257</x:v>
      </x:c>
      <x:c r="G32" s="13" t="n">
        <x:v>5</x:v>
      </x:c>
      <x:c r="H32" s="13" t="n">
        <x:v>43</x:v>
      </x:c>
    </x:row>
    <x:row r="33">
      <x:c r="A33" s="13" t="str">
        <x:v>SRC032</x:v>
      </x:c>
      <x:c r="B33" s="13" t="str">
        <x:v>GB_37822-2019.md</x:v>
      </x:c>
      <x:c r="C33" s="13" t="str">
        <x:v>.md</x:v>
      </x:c>
      <x:c r="D33" s="13" t="n">
        <x:v>34850</x:v>
      </x:c>
      <x:c r="E33" s="13" t="str">
        <x:v>f4832638f7a74ca1958562fc5281fd3d1d1a4cdaba39cd073bc0c6178e48e030</x:v>
      </x:c>
      <x:c r="F33" s="13" t="n">
        <x:v>328</x:v>
      </x:c>
      <x:c r="G33" s="13" t="n">
        <x:v>5</x:v>
      </x:c>
      <x:c r="H33" s="13" t="n">
        <x:v>49</x:v>
      </x:c>
    </x:row>
    <x:row r="34">
      <x:c r="A34" s="13" t="str">
        <x:v>SRC033</x:v>
      </x:c>
      <x:c r="B34" s="13" t="str">
        <x:v>GB_3838-2002.md</x:v>
      </x:c>
      <x:c r="C34" s="13" t="str">
        <x:v>.md</x:v>
      </x:c>
      <x:c r="D34" s="13" t="n">
        <x:v>32995</x:v>
      </x:c>
      <x:c r="E34" s="13" t="str">
        <x:v>10f73c7a954df549a25ea19cf497c0de59ea062fa2d455b4c2c9e0568e505eec</x:v>
      </x:c>
      <x:c r="F34" s="13" t="n">
        <x:v>66</x:v>
      </x:c>
      <x:c r="G34" s="13" t="n">
        <x:v>5</x:v>
      </x:c>
      <x:c r="H34" s="13" t="n">
        <x:v>38</x:v>
      </x:c>
    </x:row>
    <x:row r="35">
      <x:c r="A35" s="13" t="str">
        <x:v>SRC034</x:v>
      </x:c>
      <x:c r="B35" s="13" t="str">
        <x:v>GB_38508-2020.md</x:v>
      </x:c>
      <x:c r="C35" s="13" t="str">
        <x:v>.md</x:v>
      </x:c>
      <x:c r="D35" s="13" t="n">
        <x:v>8173</x:v>
      </x:c>
      <x:c r="E35" s="13" t="str">
        <x:v>35b4850ca9ed2fd911027b85c52629424a10b9b01e97fb7a48ad4b175051ae67</x:v>
      </x:c>
      <x:c r="F35" s="13" t="n">
        <x:v>73</x:v>
      </x:c>
      <x:c r="G35" s="13" t="n">
        <x:v>2</x:v>
      </x:c>
      <x:c r="H35" s="13" t="n">
        <x:v>11</x:v>
      </x:c>
    </x:row>
    <x:row r="36">
      <x:c r="A36" s="13" t="str">
        <x:v>SRC035</x:v>
      </x:c>
      <x:c r="B36" s="13" t="str">
        <x:v>GB_41616-2022.md</x:v>
      </x:c>
      <x:c r="C36" s="13" t="str">
        <x:v>.md</x:v>
      </x:c>
      <x:c r="D36" s="13" t="n">
        <x:v>26707</x:v>
      </x:c>
      <x:c r="E36" s="13" t="str">
        <x:v>0110e66b65b1317394d237899fd8bed8fcb83aa4ef51fcaa922a4d00418f994d</x:v>
      </x:c>
      <x:c r="F36" s="13" t="n">
        <x:v>162</x:v>
      </x:c>
      <x:c r="G36" s="13" t="n">
        <x:v>4</x:v>
      </x:c>
      <x:c r="H36" s="13" t="n">
        <x:v>31</x:v>
      </x:c>
    </x:row>
    <x:row r="37">
      <x:c r="A37" s="13" t="str">
        <x:v>SRC036</x:v>
      </x:c>
      <x:c r="B37" s="13" t="str">
        <x:v>GB_T_18920-2020.md</x:v>
      </x:c>
      <x:c r="C37" s="13" t="str">
        <x:v>.md</x:v>
      </x:c>
      <x:c r="D37" s="13" t="n">
        <x:v>9659</x:v>
      </x:c>
      <x:c r="E37" s="13" t="str">
        <x:v>25eef0be2ba14686c217afe7a4adeb0c0c1a84f290bc3dc9d139e616c96368c6</x:v>
      </x:c>
      <x:c r="F37" s="13" t="n">
        <x:v>85</x:v>
      </x:c>
      <x:c r="G37" s="13" t="n">
        <x:v>2</x:v>
      </x:c>
      <x:c r="H37" s="13" t="n">
        <x:v>16</x:v>
      </x:c>
    </x:row>
    <x:row r="38">
      <x:c r="A38" s="13" t="str">
        <x:v>SRC037</x:v>
      </x:c>
      <x:c r="B38" s="13" t="str">
        <x:v>HJ_1122-2020.md</x:v>
      </x:c>
      <x:c r="C38" s="13" t="str">
        <x:v>.md</x:v>
      </x:c>
      <x:c r="D38" s="13" t="n">
        <x:v>457227</x:v>
      </x:c>
      <x:c r="E38" s="13" t="str">
        <x:v>2699b119e20c133e11afa7c1a0ade6c0514e154ea23d3b2e00f6ddb00c872ebc</x:v>
      </x:c>
      <x:c r="F38" s="13" t="n">
        <x:v>1783</x:v>
      </x:c>
      <x:c r="G38" s="13" t="n">
        <x:v>47</x:v>
      </x:c>
      <x:c r="H38" s="13" t="n">
        <x:v>450</x:v>
      </x:c>
    </x:row>
    <x:row r="39">
      <x:c r="A39" s="13" t="str">
        <x:v>SRC038</x:v>
      </x:c>
      <x:c r="B39" s="13" t="str">
        <x:v>HJ_1207-2021.md</x:v>
      </x:c>
      <x:c r="C39" s="13" t="str">
        <x:v>.md</x:v>
      </x:c>
      <x:c r="D39" s="13" t="n">
        <x:v>33831</x:v>
      </x:c>
      <x:c r="E39" s="13" t="str">
        <x:v>acda5e58aa68a95473bf59c2c7b55aa957de1233fd81451bea584df0ada6a5f0</x:v>
      </x:c>
      <x:c r="F39" s="13" t="n">
        <x:v>129</x:v>
      </x:c>
      <x:c r="G39" s="13" t="n">
        <x:v>4</x:v>
      </x:c>
      <x:c r="H39" s="13" t="n">
        <x:v>33</x:v>
      </x:c>
    </x:row>
    <x:row r="40">
      <x:c r="A40" s="13" t="str">
        <x:v>SRC039</x:v>
      </x:c>
      <x:c r="B40" s="13" t="str">
        <x:v>HJ_169-2018.md</x:v>
      </x:c>
      <x:c r="C40" s="13" t="str">
        <x:v>.md</x:v>
      </x:c>
      <x:c r="D40" s="13" t="n">
        <x:v>136626</x:v>
      </x:c>
      <x:c r="E40" s="13" t="str">
        <x:v>796e02218c2f89d42bae5d3be356d7062001cfdf8b3f7494cae81fe5301e9a6d</x:v>
      </x:c>
      <x:c r="F40" s="13" t="n">
        <x:v>446</x:v>
      </x:c>
      <x:c r="G40" s="13" t="n">
        <x:v>20</x:v>
      </x:c>
      <x:c r="H40" s="13" t="n">
        <x:v>163</x:v>
      </x:c>
    </x:row>
    <x:row r="41">
      <x:c r="A41" s="13" t="str">
        <x:v>SRC040</x:v>
      </x:c>
      <x:c r="B41" s="13" t="str">
        <x:v>HJ_2025-2012.md</x:v>
      </x:c>
      <x:c r="C41" s="13" t="str">
        <x:v>.md</x:v>
      </x:c>
      <x:c r="D41" s="13" t="n">
        <x:v>17330</x:v>
      </x:c>
      <x:c r="E41" s="13" t="str">
        <x:v>a8d3d5796dab812e682a32dfd4ef204e2f7314a323df19a105e69bdd6024759b</x:v>
      </x:c>
      <x:c r="F41" s="13" t="n">
        <x:v>100</x:v>
      </x:c>
      <x:c r="G41" s="13" t="n">
        <x:v>2</x:v>
      </x:c>
      <x:c r="H41" s="13" t="n">
        <x:v>17</x:v>
      </x:c>
    </x:row>
    <x:row r="42">
      <x:c r="A42" s="13" t="str">
        <x:v>SRC041</x:v>
      </x:c>
      <x:c r="B42" s="13" t="str">
        <x:v>HJ_2026-2013.md</x:v>
      </x:c>
      <x:c r="C42" s="13" t="str">
        <x:v>.md</x:v>
      </x:c>
      <x:c r="D42" s="13" t="n">
        <x:v>27344</x:v>
      </x:c>
      <x:c r="E42" s="13" t="str">
        <x:v>7987b42ebcea6402acc392264233f73b1333181b38c901884d941b1b085ead09</x:v>
      </x:c>
      <x:c r="F42" s="13" t="n">
        <x:v>281</x:v>
      </x:c>
      <x:c r="G42" s="13" t="n">
        <x:v>5</x:v>
      </x:c>
      <x:c r="H42" s="13" t="n">
        <x:v>41</x:v>
      </x:c>
    </x:row>
    <x:row r="43">
      <x:c r="A43" s="13" t="str">
        <x:v>SRC042</x:v>
      </x:c>
      <x:c r="B43" s="13" t="str">
        <x:v>HJ_819-2017.md</x:v>
      </x:c>
      <x:c r="C43" s="13" t="str">
        <x:v>.md</x:v>
      </x:c>
      <x:c r="D43" s="13" t="n">
        <x:v>27081</x:v>
      </x:c>
      <x:c r="E43" s="13" t="str">
        <x:v>44d34be107e87ab9513d7df851ddb4ff793b33b14b12887faca6e5a8fe4e91a9</x:v>
      </x:c>
      <x:c r="F43" s="13" t="n">
        <x:v>208</x:v>
      </x:c>
      <x:c r="G43" s="13" t="n">
        <x:v>3</x:v>
      </x:c>
      <x:c r="H43" s="13" t="n">
        <x:v>26</x:v>
      </x:c>
    </x:row>
    <x:row r="44">
      <x:c r="A44" s="13" t="str">
        <x:v>SRC043</x:v>
      </x:c>
      <x:c r="B44" s="13" t="str">
        <x:v>HJ_884-2018.md</x:v>
      </x:c>
      <x:c r="C44" s="13" t="str">
        <x:v>.md</x:v>
      </x:c>
      <x:c r="D44" s="13" t="n">
        <x:v>23908</x:v>
      </x:c>
      <x:c r="E44" s="13" t="str">
        <x:v>eb0813a14f360ff4ee29b71e969ff491e466c798bad114b17526f49eccb085d9</x:v>
      </x:c>
      <x:c r="F44" s="13" t="n">
        <x:v>130</x:v>
      </x:c>
      <x:c r="G44" s="13" t="n">
        <x:v>3</x:v>
      </x:c>
      <x:c r="H44" s="13" t="n">
        <x:v>23</x:v>
      </x:c>
    </x:row>
    <x:row r="45">
      <x:c r="A45" s="13" t="str">
        <x:v>SRC044</x:v>
      </x:c>
      <x:c r="B45" s="13" t="str">
        <x:v>HJ_942.md</x:v>
      </x:c>
      <x:c r="C45" s="13" t="str">
        <x:v>.md</x:v>
      </x:c>
      <x:c r="D45" s="13" t="n">
        <x:v>12969</x:v>
      </x:c>
      <x:c r="E45" s="13" t="str">
        <x:v>43858d25aa74c5fdbd54b371c8d13cae19f3c5728054842f580bc264fe6d378d</x:v>
      </x:c>
      <x:c r="F45" s="13" t="n">
        <x:v>126</x:v>
      </x:c>
      <x:c r="G45" s="13" t="n">
        <x:v>2</x:v>
      </x:c>
      <x:c r="H45" s="13" t="n">
        <x:v>15</x:v>
      </x:c>
    </x:row>
    <x:row r="46">
      <x:c r="A46" s="13" t="str">
        <x:v>SRC045</x:v>
      </x:c>
      <x:c r="B46" s="13" t="str">
        <x:v>national_economic_classification.json</x:v>
      </x:c>
      <x:c r="C46" s="13" t="str">
        <x:v>.json</x:v>
      </x:c>
      <x:c r="D46" s="13" t="n">
        <x:v>494581</x:v>
      </x:c>
      <x:c r="E46" s="13" t="str">
        <x:v>d9274e96488f687b5cc4c1f1d894825f4d464d0a76db5aad31141a19db75c957</x:v>
      </x:c>
      <x:c r="F46" s="13" t="n">
        <x:v>1770</x:v>
      </x:c>
      <x:c r="G46" s="13" t="n">
        <x:v>33</x:v>
      </x:c>
      <x:c r="H46" s="13" t="n">
        <x:v>321</x:v>
      </x:c>
    </x:row>
    <x:row r="47">
      <x:c r="A47" s="13" t="str">
        <x:v>SRC046</x:v>
      </x:c>
      <x:c r="B47" s="13" t="str">
        <x:v>national_economic_classification.jsonl</x:v>
      </x:c>
      <x:c r="C47" s="13" t="str">
        <x:v>.jsonl</x:v>
      </x:c>
      <x:c r="D47" s="13" t="n">
        <x:v>425548</x:v>
      </x:c>
      <x:c r="E47" s="13" t="str">
        <x:v>8b093eaa02ca54a06262e14b9336ba21e18d064d7b5e2a3439135ca48a8d1161</x:v>
      </x:c>
      <x:c r="F47" s="13" t="n">
        <x:v>1770</x:v>
      </x:c>
      <x:c r="G47" s="13" t="n">
        <x:v>34</x:v>
      </x:c>
      <x:c r="H47" s="13" t="n">
        <x:v>335</x:v>
      </x:c>
    </x:row>
    <x:row r="48">
      <x:c r="A48" s="13" t="str">
        <x:v>SRC047</x:v>
      </x:c>
      <x:c r="B48" s="13" t="str">
        <x:v>plastic_rubber_industry_classification_checked.md</x:v>
      </x:c>
      <x:c r="C48" s="13" t="str">
        <x:v>.md</x:v>
      </x:c>
      <x:c r="D48" s="13" t="n">
        <x:v>3825</x:v>
      </x:c>
      <x:c r="E48" s="13" t="str">
        <x:v>758827ee6d34940c4161258b707316f9d8387a605de200dea16defa79da029c2</x:v>
      </x:c>
      <x:c r="F48" s="13" t="n">
        <x:v>12</x:v>
      </x:c>
      <x:c r="G48" s="13" t="n">
        <x:v>1</x:v>
      </x:c>
      <x:c r="H48" s="13" t="n">
        <x:v>4</x:v>
      </x:c>
    </x:row>
    <x:row r="49">
      <x:c r="A49" s="13" t="str">
        <x:v>SRC048</x:v>
      </x:c>
      <x:c r="B49" s="13" t="str">
        <x:v>三线一单_全部管控单元表格.json</x:v>
      </x:c>
      <x:c r="C49" s="13" t="str">
        <x:v>.json</x:v>
      </x:c>
      <x:c r="D49" s="13" t="n">
        <x:v>560414</x:v>
      </x:c>
      <x:c r="E49" s="13" t="str">
        <x:v>dbefee2ceaaf8c27ec22c9571a0369cd700940e4073c9d59d7f35530c8b0e4fc</x:v>
      </x:c>
      <x:c r="F49" s="13" t="n">
        <x:v>96</x:v>
      </x:c>
      <x:c r="G49" s="13" t="n">
        <x:v>37</x:v>
      </x:c>
      <x:c r="H49" s="13" t="n">
        <x:v>305</x:v>
      </x:c>
    </x:row>
    <x:row r="50">
      <x:c r="A50" s="13" t="str">
        <x:v>SRC049</x:v>
      </x:c>
      <x:c r="B50" s="13" t="str">
        <x:v>三线一单_顺德管控单元.json</x:v>
      </x:c>
      <x:c r="C50" s="13" t="str">
        <x:v>.json</x:v>
      </x:c>
      <x:c r="D50" s="13" t="n">
        <x:v>2734</x:v>
      </x:c>
      <x:c r="E50" s="13" t="str">
        <x:v>b07630c68152220102ba712d78f6decfe0d89cfde651a55ab3343c85c7021b3b</x:v>
      </x:c>
      <x:c r="F50" s="13" t="n">
        <x:v>25</x:v>
      </x:c>
      <x:c r="G50" s="13" t="n">
        <x:v>1</x:v>
      </x:c>
      <x:c r="H50" s="13" t="n">
        <x:v>3</x:v>
      </x:c>
    </x:row>
    <x:row r="51">
      <x:c r="A51" s="13" t="str">
        <x:v>SRC050</x:v>
      </x:c>
      <x:c r="B51" s="13" t="str">
        <x:v>三线一单_顺德管控单元_完整.json</x:v>
      </x:c>
      <x:c r="C51" s="13" t="str">
        <x:v>.json</x:v>
      </x:c>
      <x:c r="D51" s="13" t="n">
        <x:v>151335</x:v>
      </x:c>
      <x:c r="E51" s="13" t="str">
        <x:v>58fd74a62fcc00a8c611fd753acec56d7c0985a6d87bc9bd27ebdf73ec3ceda8</x:v>
      </x:c>
      <x:c r="F51" s="13" t="n">
        <x:v>25</x:v>
      </x:c>
      <x:c r="G51" s="13" t="n">
        <x:v>11</x:v>
      </x:c>
      <x:c r="H51" s="13" t="n">
        <x:v>85</x:v>
      </x:c>
    </x:row>
    <x:row r="52">
      <x:c r="A52" s="13" t="str">
        <x:v>SRC051</x:v>
      </x:c>
      <x:c r="B52" s="13" t="str">
        <x:v>三线一单_顺德管控单元准入清单.json</x:v>
      </x:c>
      <x:c r="C52" s="13" t="str">
        <x:v>.json</x:v>
      </x:c>
      <x:c r="D52" s="13" t="n">
        <x:v>152966</x:v>
      </x:c>
      <x:c r="E52" s="13" t="str">
        <x:v>87c2d4317ed88bc8c393aa3633064ccdc9ac5789f4ade1d0c026a42abb6b0b9f</x:v>
      </x:c>
      <x:c r="F52" s="13" t="n">
        <x:v>25</x:v>
      </x:c>
      <x:c r="G52" s="13" t="n">
        <x:v>12</x:v>
      </x:c>
      <x:c r="H52" s="13" t="n">
        <x:v>87</x:v>
      </x:c>
    </x:row>
    <x:row r="53">
      <x:c r="A53" s="13" t="str">
        <x:v>SRC052</x:v>
      </x:c>
      <x:c r="B53" s="13" t="str">
        <x:v>三线一单_顺德管控单元准入清单.md</x:v>
      </x:c>
      <x:c r="C53" s="13" t="str">
        <x:v>.md</x:v>
      </x:c>
      <x:c r="D53" s="13" t="n">
        <x:v>66339</x:v>
      </x:c>
      <x:c r="E53" s="13" t="str">
        <x:v>a5106045ba9f1e184578a1418df3acb0c1fced6dc4d8ef69e921af42041e908a</x:v>
      </x:c>
      <x:c r="F53" s="13" t="n">
        <x:v>83</x:v>
      </x:c>
      <x:c r="G53" s="13" t="n">
        <x:v>6</x:v>
      </x:c>
      <x:c r="H53" s="13" t="n">
        <x:v>58</x:v>
      </x:c>
    </x:row>
  </x:sheetData>
  <x:pageMargins left="0.7" right="0.7" top="0.75" bottom="0.75" header="0.3" footer="0.3"/>
  <x:tableParts count="1">
    <x:tablePart xmlns:r="http://schemas.openxmlformats.org/officeDocument/2006/relationships" r:id="Rb5be5475968c45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42" hidden="0" customWidth="1"/>
    <x:col min="5" max="5" width="45" hidden="0" customWidth="1"/>
    <x:col min="6" max="6" width="52" hidden="0" customWidth="1"/>
    <x:col min="7" max="7" width="28" hidden="0" customWidth="1"/>
  </x:cols>
  <x:sheetData>
    <x:row r="1">
      <x:c r="A1" s="19" t="str">
        <x:v>环节</x:v>
      </x:c>
      <x:c r="B1" s="19" t="str">
        <x:v>章节位置</x:v>
      </x:c>
      <x:c r="C1" s="19" t="str">
        <x:v>核心方法</x:v>
      </x:c>
      <x:c r="D1" s="19" t="str">
        <x:v>关键参数</x:v>
      </x:c>
      <x:c r="E1" s="19" t="str">
        <x:v>是否可借鉴到我的研究</x:v>
      </x:c>
      <x:c r="F1" s="19" t="str">
        <x:v>本次实际实现</x:v>
      </x:c>
      <x:c r="G1" s="19" t="str">
        <x:v>验收状态</x:v>
      </x:c>
    </x:row>
    <x:row r="2">
      <x:c r="A2" s="10" t="str">
        <x:v>1. 原始数据来源</x:v>
      </x:c>
      <x:c r="B2" s="10" t="str">
        <x:v>Section 3.1, 3.2</x:v>
      </x:c>
      <x:c r="C2" s="10" t="str">
        <x:v>限定权威来源</x:v>
      </x:c>
      <x:c r="D2" s="10" t="str">
        <x:v>生态环境部（国家+省级）法规文件</x:v>
      </x:c>
      <x:c r="E2" s="10" t="str">
        <x:v>✅ 可直接借鉴：限定权威来源原则</x:v>
      </x:c>
      <x:c r="F2" s="10" t="str">
        <x:v>固定使用正式库第1层52份全文，并记录SHA-256</x:v>
      </x:c>
      <x:c r="G2" s="10" t="str">
        <x:v>一致</x:v>
      </x:c>
    </x:row>
    <x:row r="3">
      <x:c r="A3" s="10" t="str">
        <x:v>2. 数据清洗与预处理</x:v>
      </x:c>
      <x:c r="B3" s="10" t="str">
        <x:v>Section 3.2, 3.2.1</x:v>
      </x:c>
      <x:c r="C3" s="10" t="str">
        <x:v>权威层级+时间优先级</x:v>
      </x:c>
      <x:c r="D3" s="10" t="str">
        <x:v>优先级规则：authority level + recency</x:v>
      </x:c>
      <x:c r="E3" s="10" t="str">
        <x:v>✅ 可直接借鉴：多版本冲突解决机制</x:v>
      </x:c>
      <x:c r="F3" s="10" t="str">
        <x:v>UTF-8规范化；JSON/JSONL/CSV结构校验与记录化</x:v>
      </x:c>
      <x:c r="G3" s="10" t="str">
        <x:v>一致</x:v>
      </x:c>
    </x:row>
    <x:row r="4">
      <x:c r="A4" s="10" t="str">
        <x:v>3. 结构化切分策略</x:v>
      </x:c>
      <x:c r="B4" s="10" t="str">
        <x:v>Section 3.2.1, Fig.2</x:v>
      </x:c>
      <x:c r="C4" s="10" t="str">
        <x:v>LLM智能切分</x:v>
      </x:c>
      <x:c r="D4" s="10" t="str">
        <x:v>QwenMax + Dify；章-条-款结构；关键词+强制性动作标注</x:v>
      </x:c>
      <x:c r="E4" s="10" t="str">
        <x:v>✅ 可直接借鉴：LLM辅助切分 + 元数据标注</x:v>
      </x:c>
      <x:c r="F4" s="10" t="str">
        <x:v>按标题、段落、表格行和JSON记录进行确定性结构切分</x:v>
      </x:c>
      <x:c r="G4" s="10" t="str">
        <x:v>部分一致：未调用LLM切分</x:v>
      </x:c>
    </x:row>
    <x:row r="5">
      <x:c r="A5" s="10" t="str">
        <x:v>4. 父子块设计</x:v>
      </x:c>
      <x:c r="B5" s="10" t="str">
        <x:v>Section 3.2.1</x:v>
      </x:c>
      <x:c r="C5" s="10" t="str">
        <x:v>父子块分层</x:v>
      </x:c>
      <x:c r="D5" s="10" t="str">
        <x:v>父块4000t/子块500t/重叠20%；子块检索/父块生成</x:v>
      </x:c>
      <x:c r="E5" s="10" t="str">
        <x:v>✅ 可直接借鉴：分层块设计</x:v>
      </x:c>
      <x:c r="F5" s="10" t="str">
        <x:v>父块≤4000 token；子块500 token；重叠100 token（20%）</x:v>
      </x:c>
      <x:c r="G5" s="10" t="str">
        <x:v>一致</x:v>
      </x:c>
    </x:row>
    <x:row r="6">
      <x:c r="A6" s="10" t="str">
        <x:v>5. 嵌入与向量化</x:v>
      </x:c>
      <x:c r="B6" s="10" t="str">
        <x:v>Section 3.2.1, 3.3.1</x:v>
      </x:c>
      <x:c r="C6" s="10" t="str">
        <x:v>子块嵌入</x:v>
      </x:c>
      <x:c r="D6" s="10" t="str">
        <x:v>BGE-M3；仅子块嵌入；余弦相似度</x:v>
      </x:c>
      <x:c r="E6" s="10" t="str">
        <x:v>✅ 可直接借鉴：BGE-M3 + 子块嵌入策略</x:v>
      </x:c>
      <x:c r="F6" s="10" t="str">
        <x:v>text-embedding-v4，1024维；仅2875个子块嵌入；余弦相似度</x:v>
      </x:c>
      <x:c r="G6" s="10" t="str">
        <x:v>模型替代：百炼官方v4</x:v>
      </x:c>
    </x:row>
    <x:row r="7">
      <x:c r="A7" s="10" t="str">
        <x:v>6. 检索策略</x:v>
      </x:c>
      <x:c r="B7" s="10" t="str">
        <x:v>Section 3.3.1, Fig.3</x:v>
      </x:c>
      <x:c r="C7" s="10" t="str">
        <x:v>混合检索</x:v>
      </x:c>
      <x:c r="D7" s="10" t="str">
        <x:v>Dense(BGE-M3+余弦) + Sparse(BM25)</x:v>
      </x:c>
      <x:c r="E7" s="10" t="str">
        <x:v>✅ 可直接借鉴：混合检索设计</x:v>
      </x:c>
      <x:c r="F7" s="10" t="str">
        <x:v>FAISS稠密检索 + BM25稀疏检索，RRF融合</x:v>
      </x:c>
      <x:c r="G7" s="10" t="str">
        <x:v>一致</x:v>
      </x:c>
    </x:row>
    <x:row r="8">
      <x:c r="A8" s="10" t="str">
        <x:v>7. 重排序</x:v>
      </x:c>
      <x:c r="B8" s="10" t="str">
        <x:v>Section 3.2.1, 3.3.1</x:v>
      </x:c>
      <x:c r="C8" s="10" t="str">
        <x:v>Cross-encoder重排序</x:v>
      </x:c>
      <x:c r="D8" s="10" t="str">
        <x:v>BGE-Reranker；语义重排序</x:v>
      </x:c>
      <x:c r="E8" s="10" t="str">
        <x:v>✅ 可直接借鉴：BGE-Reranker</x:v>
      </x:c>
      <x:c r="F8" s="10" t="str">
        <x:v>本轮未接入cross-encoder；已保留重排序接口位置</x:v>
      </x:c>
      <x:c r="G8" s="10" t="str">
        <x:v>待补：重排序模型</x:v>
      </x:c>
    </x:row>
    <x:row r="9">
      <x:c r="A9" s="10" t="str">
        <x:v>8. Top-K条款选择</x:v>
      </x:c>
      <x:c r="B9" s="10" t="str">
        <x:v>Section 3.3.1</x:v>
      </x:c>
      <x:c r="C9" s="10" t="str">
        <x:v>基于重排序分数</x:v>
      </x:c>
      <x:c r="D9" s="10" t="str">
        <x:v>按语义特异性优先；非词频排序</x:v>
      </x:c>
      <x:c r="E9" s="10" t="str">
        <x:v>✅ 可直接借鉴：排名-based选择</x:v>
      </x:c>
      <x:c r="F9" s="10" t="str">
        <x:v>当前RRF按名次融合；重排序后Top-K待正式实验设定</x:v>
      </x:c>
      <x:c r="G9" s="10" t="str">
        <x:v>待正式实验</x:v>
      </x:c>
    </x:row>
    <x:row r="10">
      <x:c r="A10" s="10" t="str">
        <x:v>9. 提示词构建</x:v>
      </x:c>
      <x:c r="B10" s="10" t="str">
        <x:v>Section 3.3.1, 3.4</x:v>
      </x:c>
      <x:c r="C10" s="10" t="str">
        <x:v>模板化拼接</x:v>
      </x:c>
      <x:c r="D10" s="10" t="str">
        <x:v>Query + 子块+父块上下文 → Qwen3-8B</x:v>
      </x:c>
      <x:c r="E10" s="10" t="str">
        <x:v>✅ 可直接借鉴：动态父块上下文引入</x:v>
      </x:c>
      <x:c r="F10" s="10" t="str">
        <x:v>Query→子块召回→parent_id父块上下文</x:v>
      </x:c>
      <x:c r="G10" s="10" t="str">
        <x:v>一致</x:v>
      </x:c>
    </x:row>
    <x:row r="11">
      <x:c r="A11" s="10" t="str">
        <x:v>10. 知识库质量控制</x:v>
      </x:c>
      <x:c r="B11" s="10" t="str">
        <x:v>Section 3.2.2（仅QA数据）</x:v>
      </x:c>
      <x:c r="C11" s="10" t="str">
        <x:v>自动过滤+人工验证</x:v>
      </x:c>
      <x:c r="D11" s="10" t="str">
        <x:v>3954条QA对</x:v>
      </x:c>
      <x:c r="E11" s="10" t="str">
        <x:v>⚠️ 需补充：RAG知识库QC未明确描述</x:v>
      </x:c>
      <x:c r="F11" s="10" t="str">
        <x:v>52/52来源、ID唯一性、块上限、向量数量/维度/SHA校验</x:v>
      </x:c>
      <x:c r="G11" s="10" t="str">
        <x:v>已补充</x:v>
      </x:c>
    </x:row>
    <x:row r="12">
      <x:c r="A12" s="10" t="str">
        <x:v>11. 与微调数据的隔离</x:v>
      </x:c>
      <x:c r="B12" s="10" t="str">
        <x:v>Section 3.1, 3.5.1</x:v>
      </x:c>
      <x:c r="C12" s="10" t="str">
        <x:v>同源分流+测试集隔离</x:v>
      </x:c>
      <x:c r="D12" s="10" t="str">
        <x:v>同一批文件→两个数据集；测试集100条独立来源</x:v>
      </x:c>
      <x:c r="E12" s="10" t="str">
        <x:v>✅ 可借鉴：同源分流思路（但您不做微调，只需关注测试集隔离）</x:v>
      </x:c>
      <x:c r="F12" s="10" t="str">
        <x:v>本知识库与QA测试集分目录存放，需在实验脚本继续锁定隔离</x:v>
      </x:c>
      <x:c r="G12" s="10" t="str">
        <x:v>目录层面完成</x:v>
      </x:c>
    </x:row>
    <x:row r="13">
      <x:c r="A13" s="10" t="str">
        <x:v>12. Dify工作流相关</x:v>
      </x:c>
      <x:c r="B13" s="10" t="str">
        <x:v>Section 3.2.1, 3.3.1, Fig.2, 5.4</x:v>
      </x:c>
      <x:c r="C13" s="10" t="str">
        <x:v>Dify平台全流程</x:v>
      </x:c>
      <x:c r="D13" s="10" t="str">
        <x:v>Dify开源框架；工作流已上传GitHub</x:v>
      </x:c>
      <x:c r="E13" s="10" t="str">
        <x:v>✅ 高度契合：您也在用Dify</x:v>
      </x:c>
      <x:c r="F13" s="10" t="str">
        <x:v>生成本地可移植索引；尚未自动上传Dify服务端</x:v>
      </x:c>
      <x:c r="G13" s="10" t="str">
        <x:v>本地完成/服务端待配置</x:v>
      </x:c>
    </x:row>
  </x:sheetData>
  <x:pageMargins left="0.7" right="0.7" top="0.75" bottom="0.75" header="0.3" footer="0.3"/>
  <x:tableParts count="1">
    <x:tablePart xmlns:r="http://schemas.openxmlformats.org/officeDocument/2006/relationships" r:id="R32755c89cb9148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6" hidden="0" customWidth="1"/>
    <x:col min="3" max="3" width="20" hidden="0" customWidth="1"/>
    <x:col min="4" max="4" width="46" hidden="0" customWidth="1"/>
    <x:col min="5" max="5" width="56" hidden="0" customWidth="1"/>
  </x:cols>
  <x:sheetData>
    <x:row r="1">
      <x:c r="A1" s="19" t="str">
        <x:v>Query</x:v>
      </x:c>
      <x:c r="B1" s="19" t="str">
        <x:v>预设来源</x:v>
      </x:c>
      <x:c r="C1" s="19" t="str">
        <x:v>预设来源是否Top-5</x:v>
      </x:c>
      <x:c r="D1" s="19" t="str">
        <x:v>Top-1来源</x:v>
      </x:c>
      <x:c r="E1" s="19" t="str">
        <x:v>说明</x:v>
      </x:c>
    </x:row>
    <x:row r="2">
      <x:c r="A2" s="10" t="str">
        <x:v>工业企业厂界环境噪声排放标准昼间夜间限值</x:v>
      </x:c>
      <x:c r="B2" s="10" t="str">
        <x:v>GB_12348-2008.md</x:v>
      </x:c>
      <x:c r="C2" s="10" t="str">
        <x:v>是</x:v>
      </x:c>
      <x:c r="D2" s="10" t="str">
        <x:v>GB_12348-2008.md</x:v>
      </x:c>
      <x:c r="E2" s="10" t="str">
        <x:v>通过</x:v>
      </x:c>
    </x:row>
    <x:row r="3">
      <x:c r="A3" s="10" t="str">
        <x:v>危险废物贮存污染控制标准</x:v>
      </x:c>
      <x:c r="B3" s="10" t="str">
        <x:v>GB_18597-2023.md</x:v>
      </x:c>
      <x:c r="C3" s="10" t="str">
        <x:v>是</x:v>
      </x:c>
      <x:c r="D3" s="10" t="str">
        <x:v>GB_18597-2023.md</x:v>
      </x:c>
      <x:c r="E3" s="10" t="str">
        <x:v>通过</x:v>
      </x:c>
    </x:row>
    <x:row r="4">
      <x:c r="A4" s="10" t="str">
        <x:v>城市杂用水水质冲厕绿化</x:v>
      </x:c>
      <x:c r="B4" s="10" t="str">
        <x:v>GB_T_18920-2020.md</x:v>
      </x:c>
      <x:c r="C4" s="10" t="str">
        <x:v>是</x:v>
      </x:c>
      <x:c r="D4" s="10" t="str">
        <x:v>GB_T_18920-2020.md</x:v>
      </x:c>
      <x:c r="E4" s="10" t="str">
        <x:v>通过</x:v>
      </x:c>
    </x:row>
    <x:row r="5">
      <x:c r="A5" s="10" t="str">
        <x:v>塑料制品业挥发性有机物排放限值</x:v>
      </x:c>
      <x:c r="B5" s="10" t="str">
        <x:v>GB_31572-2015.md</x:v>
      </x:c>
      <x:c r="C5" s="10" t="str">
        <x:v>否</x:v>
      </x:c>
      <x:c r="D5" s="10" t="str">
        <x:v>#8_塑料制品业典型污染源及执行标准.md</x:v>
      </x:c>
      <x:c r="E5" s="10" t="str">
        <x:v>行业速查指南优先返回；需在正式实验评估是否应通过重排序提升正式标准</x:v>
      </x:c>
    </x:row>
    <x:row r="6">
      <x:c r="A6" s="10" t="str">
        <x:v>顺德区2024年生态环境质量状况公报</x:v>
      </x:c>
      <x:c r="B6" s="10" t="str">
        <x:v>#6_2024年佛山市顺德区生态环境状态公报.txt</x:v>
      </x:c>
      <x:c r="C6" s="10" t="str">
        <x:v>是</x:v>
      </x:c>
      <x:c r="D6" s="10" t="str">
        <x:v>#6_2024年佛山市顺德区生态环境状态公报.txt</x:v>
      </x:c>
      <x:c r="E6" s="10" t="str">
        <x:v>通过</x:v>
      </x:c>
    </x:row>
  </x:sheetData>
  <x:pageMargins left="0.7" right="0.7" top="0.75" bottom="0.75" header="0.3" footer="0.3"/>
  <x:tableParts count="1">
    <x:tablePart xmlns:r="http://schemas.openxmlformats.org/officeDocument/2006/relationships" r:id="R5f345d9a02814278"/>
  </x:tableParts>
</x:worksheet>
</file>