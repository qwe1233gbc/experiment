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63826738cb24155" /></Relationships>
</file>

<file path=xl/workbook.xml><?xml version="1.0" encoding="utf-8"?>
<x:workbook xmlns:x="http://schemas.openxmlformats.org/spreadsheetml/2006/main">
  <x:sheets>
    <x:sheet xmlns:r="http://schemas.openxmlformats.org/officeDocument/2006/relationships" name="实验总览" sheetId="1" r:id="Rf3a9edb922a04800"/>
    <x:sheet xmlns:r="http://schemas.openxmlformats.org/officeDocument/2006/relationships" name="组级汇总" sheetId="2" r:id="R4b578eedabf24d1e"/>
    <x:sheet xmlns:r="http://schemas.openxmlformats.org/officeDocument/2006/relationships" name="率指标" sheetId="3" r:id="R6f20a0b506f1487e"/>
    <x:sheet xmlns:r="http://schemas.openxmlformats.org/officeDocument/2006/relationships" name="交互效应" sheetId="4" r:id="R38b6d8cf0e4843d1"/>
    <x:sheet xmlns:r="http://schemas.openxmlformats.org/officeDocument/2006/relationships" name="配对检验" sheetId="5" r:id="R9103626767f4467d"/>
    <x:sheet xmlns:r="http://schemas.openxmlformats.org/officeDocument/2006/relationships" name="每题评分" sheetId="6" r:id="R9e5abaeed1964f73"/>
    <x:sheet xmlns:r="http://schemas.openxmlformats.org/officeDocument/2006/relationships" name="自动指标" sheetId="7" r:id="R5de1718dd4f94f2c"/>
    <x:sheet xmlns:r="http://schemas.openxmlformats.org/officeDocument/2006/relationships" name="逐题beta3" sheetId="8" r:id="R8a302df00e7c4fd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
  </x:numFmts>
  <x:fonts count="5">
    <x:font>
      <x:sz val="11"/>
      <x:name val="Carlito"/>
    </x:font>
    <x:font>
      <x:b/>
      <x:sz val="11"/>
      <x:color rgb="FFFFFFFF"/>
      <x:name val="Carlito"/>
    </x:font>
    <x:font>
      <x:b/>
      <x:sz val="16"/>
      <x:color rgb="FFFFFFFF"/>
      <x:name val="Carlito"/>
    </x:font>
    <x:font>
      <x:b/>
      <x:sz val="11"/>
      <x:color rgb="FF17365D"/>
      <x:name val="Carlito"/>
    </x:font>
    <x:font>
      <x:b/>
      <x:sz val="11"/>
      <x:name val="Carlito"/>
    </x:font>
  </x:fonts>
  <x:fills count="6">
    <x:fill>
      <x:patternFill patternType="none"/>
    </x:fill>
    <x:fill>
      <x:patternFill patternType="gray125"/>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F2F2F2"/>
      </x:patternFill>
    </x:fill>
  </x:fills>
  <x:borders count="3">
    <x:border/>
    <x:border>
      <x:left style="thin">
        <x:color rgb="FF9FBAD0"/>
      </x:left>
      <x:right style="thin">
        <x:color rgb="FF9FBAD0"/>
      </x:right>
      <x:top style="thin">
        <x:color rgb="FF9FBAD0"/>
      </x:top>
      <x:bottom style="thin">
        <x:color rgb="FF9FBAD0"/>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2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0" fillId="0" borderId="2" xfId="0" applyNumberFormat="1" applyFont="1" applyFill="1" applyBorder="1"/>
    <x:xf numFmtId="200" fontId="0" fillId="0" borderId="2" xfId="0" applyNumberFormat="1" applyFont="1" applyFill="1" applyBorder="1"/>
    <x:xf numFmtId="201" fontId="0" fillId="0" borderId="2"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2" xfId="0" applyNumberFormat="1" applyFont="1" applyFill="1" applyBorder="1"/>
    <x:xf numFmtId="0" fontId="0" fillId="0" borderId="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4fbf73defca4a9f" /><Relationship Type="http://schemas.openxmlformats.org/officeDocument/2006/relationships/theme" Target="/xl/theme/theme1.xml" Id="R7f3a854640654968" /><Relationship Type="http://schemas.openxmlformats.org/officeDocument/2006/relationships/sharedStrings" Target="/xl/sharedStrings.xml" Id="R2be9d50f3d1b4103" /><Relationship Type="http://schemas.openxmlformats.org/officeDocument/2006/relationships/worksheet" Target="/xl/worksheets/sheet1.xml" Id="Rf3a9edb922a04800" /><Relationship Type="http://schemas.openxmlformats.org/officeDocument/2006/relationships/worksheet" Target="/xl/worksheets/sheet2.xml" Id="R4b578eedabf24d1e" /><Relationship Type="http://schemas.openxmlformats.org/officeDocument/2006/relationships/worksheet" Target="/xl/worksheets/sheet3.xml" Id="R6f20a0b506f1487e" /><Relationship Type="http://schemas.openxmlformats.org/officeDocument/2006/relationships/worksheet" Target="/xl/worksheets/sheet4.xml" Id="R38b6d8cf0e4843d1" /><Relationship Type="http://schemas.openxmlformats.org/officeDocument/2006/relationships/worksheet" Target="/xl/worksheets/sheet5.xml" Id="R9103626767f4467d" /><Relationship Type="http://schemas.openxmlformats.org/officeDocument/2006/relationships/worksheet" Target="/xl/worksheets/sheet6.xml" Id="R9e5abaeed1964f73" /><Relationship Type="http://schemas.openxmlformats.org/officeDocument/2006/relationships/worksheet" Target="/xl/worksheets/sheet7.xml" Id="R5de1718dd4f94f2c" /><Relationship Type="http://schemas.openxmlformats.org/officeDocument/2006/relationships/worksheet" Target="/xl/worksheets/sheet8.xml" Id="R8a302df00e7c4fd0" /></Relationships>
</file>

<file path=xl/drawings/_rels/drawing1.xml.rels>&#65279;<?xml version="1.0" encoding="utf-8"?><Relationships xmlns="http://schemas.openxmlformats.org/package/2006/relationships"><Relationship Type="http://schemas.openxmlformats.org/officeDocument/2006/relationships/chart" Target="/xl/drawings/charts/chart1.xml" Id="Re1df28e296cd4f3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四组正式盲评得分（%）</a:t>
            </a:r>
          </a:p>
        </c:rich>
      </c:tx>
      <c:overlay val="0"/>
    </c:title>
    <c:plotArea>
      <c:barChart>
        <c:barDir val="col"/>
        <c:varyColors val="0"/>
        <c:ser>
          <c:idx val="0"/>
          <c:order val="0"/>
          <c:tx>
            <c:v>共同三维得分</c:v>
          </c:tx>
          <c:spPr>
            <a:solidFill xmlns:a="http://schemas.openxmlformats.org/drawingml/2006/main">
              <a:srgbClr val="4472C4"/>
            </a:solidFill>
          </c:spPr>
          <c:cat>
            <c:strRef>
              <c:f>'实验总览'!$A$4:$A$7</c:f>
              <c:strCache>
                <c:ptCount val="0"/>
              </c:strCache>
            </c:strRef>
          </c:cat>
          <c:val>
            <c:numRef>
              <c:f>'实验总览'!$C$4:$C$7</c:f>
              <c:numCache>
                <c:formatCode>0</c:formatCode>
                <c:ptCount val="0"/>
              </c:numCache>
            </c:numRef>
          </c:val>
        </c:ser>
        <c:ser>
          <c:idx val="1"/>
          <c:order val="1"/>
          <c:tx>
            <c:v>适用维度归一化得分</c:v>
          </c:tx>
          <c:spPr>
            <a:solidFill xmlns:a="http://schemas.openxmlformats.org/drawingml/2006/main">
              <a:srgbClr val="70AD47"/>
            </a:solidFill>
          </c:spPr>
          <c:cat>
            <c:strRef>
              <c:f>'实验总览'!$A$4:$A$7</c:f>
              <c:strCache>
                <c:ptCount val="0"/>
              </c:strCache>
            </c:strRef>
          </c:cat>
          <c:val>
            <c:numRef>
              <c:f>'实验总览'!$D$4:$D$7</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1df28e296cd4f3d"/>
        </a:graphicData>
      </a:graphic>
    </xdr:graphicFrame>
    <xdr:clientData/>
  </xdr:twoCellAnchor>
</xdr:wsDr>
</file>

<file path=xl/tables/table1.xml><?xml version="1.0" encoding="utf-8"?>
<x:table xmlns:x="http://schemas.openxmlformats.org/spreadsheetml/2006/main" id="1" name="GroupSummary" displayName="GroupSummary" ref="A1:N5" headerRowCount="1" totalsRowCount="0" totalsRowShown="0">
  <x:tableColumns count="14">
    <x:tableColumn id="1" name="group"/>
    <x:tableColumn id="2" name="n"/>
    <x:tableColumn id="3" name="correctness_mean"/>
    <x:tableColumn id="4" name="correctness_n"/>
    <x:tableColumn id="5" name="evidence_use_mean"/>
    <x:tableColumn id="6" name="evidence_use_n"/>
    <x:tableColumn id="7" name="actionability_mean"/>
    <x:tableColumn id="8" name="actionability_n"/>
    <x:tableColumn id="9" name="regulatory_basis_mean"/>
    <x:tableColumn id="10" name="regulatory_basis_n"/>
    <x:tableColumn id="11" name="skill_workflow_mean"/>
    <x:tableColumn id="12" name="skill_workflow_n"/>
    <x:tableColumn id="13" name="shared_score_100_mean"/>
    <x:tableColumn id="14" name="normalized_score_100_mean"/>
  </x:tableColumns>
  <x:tableStyleInfo name="TableStyleMedium2" showFirstColumn="0" showLastColumn="0" showRowStripes="1" showColumnStripes="0"/>
</x:table>
</file>

<file path=xl/tables/table2.xml><?xml version="1.0" encoding="utf-8"?>
<x:table xmlns:x="http://schemas.openxmlformats.org/spreadsheetml/2006/main" id="2" name="RateMetrics" displayName="RateMetrics" ref="A1:J5" headerRowCount="1" totalsRowCount="0" totalsRowShown="0">
  <x:tableColumns count="10">
    <x:tableColumn id="1" name="group"/>
    <x:tableColumn id="2" name="n"/>
    <x:tableColumn id="3" name="hallucination_rate"/>
    <x:tableColumn id="4" name="complete_validation_rate"/>
    <x:tableColumn id="5" name="abstention_rate"/>
    <x:tableColumn id="6" name="manual_review_rate"/>
    <x:tableColumn id="7" name="judgement_correct_rate"/>
    <x:tableColumn id="8" name="mean_evidence_count"/>
    <x:tableColumn id="9" name="mean_check_count"/>
    <x:tableColumn id="10" name="mean_reference_count"/>
  </x:tableColumns>
  <x:tableStyleInfo name="TableStyleMedium2" showFirstColumn="0" showLastColumn="0" showRowStripes="1" showColumnStripes="0"/>
</x:table>
</file>

<file path=xl/tables/table3.xml><?xml version="1.0" encoding="utf-8"?>
<x:table xmlns:x="http://schemas.openxmlformats.org/spreadsheetml/2006/main" id="3" name="InteractionEffects" displayName="InteractionEffects" ref="A1:H5" headerRowCount="1" totalsRowCount="0" totalsRowShown="0">
  <x:tableColumns count="8">
    <x:tableColumn id="1" name="outcome"/>
    <x:tableColumn id="2" name="A_mean"/>
    <x:tableColumn id="3" name="B_mean"/>
    <x:tableColumn id="4" name="C_mean"/>
    <x:tableColumn id="5" name="D_mean"/>
    <x:tableColumn id="6" name="rag_main_effect"/>
    <x:tableColumn id="7" name="skill_main_effect"/>
    <x:tableColumn id="8" name="beta3_interaction"/>
  </x:tableColumns>
  <x:tableStyleInfo name="TableStyleMedium2" showFirstColumn="0" showLastColumn="0" showRowStripes="1" showColumnStripes="0"/>
</x:table>
</file>

<file path=xl/tables/table4.xml><?xml version="1.0" encoding="utf-8"?>
<x:table xmlns:x="http://schemas.openxmlformats.org/spreadsheetml/2006/main" id="4" name="PairedTests" displayName="PairedTests" ref="A1:F7" headerRowCount="1" totalsRowCount="0" totalsRowShown="0">
  <x:tableColumns count="6">
    <x:tableColumn id="1" name="comparison"/>
    <x:tableColumn id="2" name="mean_difference"/>
    <x:tableColumn id="3" name="paired_t"/>
    <x:tableColumn id="4" name="p_value_two_sided"/>
    <x:tableColumn id="5" name="cohens_dz"/>
    <x:tableColumn id="6" name="n"/>
  </x:tableColumns>
  <x:tableStyleInfo name="TableStyleMedium2" showFirstColumn="0" showLastColumn="0" showRowStripes="1" showColumnStripes="0"/>
</x:table>
</file>

<file path=xl/tables/table5.xml><?xml version="1.0" encoding="utf-8"?>
<x:table xmlns:x="http://schemas.openxmlformats.org/spreadsheetml/2006/main" id="5" name="QuestionScores" displayName="QuestionScores" ref="A1:K85" headerRowCount="1" totalsRowCount="0" totalsRowShown="0">
  <x:tableColumns count="11">
    <x:tableColumn id="1" name="question_id"/>
    <x:tableColumn id="2" name="group"/>
    <x:tableColumn id="3" name="correctness"/>
    <x:tableColumn id="4" name="evidence_use"/>
    <x:tableColumn id="5" name="actionability"/>
    <x:tableColumn id="6" name="regulatory_basis"/>
    <x:tableColumn id="7" name="skill_workflow"/>
    <x:tableColumn id="8" name="applicable_total"/>
    <x:tableColumn id="9" name="applicable_max"/>
    <x:tableColumn id="10" name="normalized_100"/>
    <x:tableColumn id="11" name="rationale"/>
  </x:tableColumns>
  <x:tableStyleInfo name="TableStyleMedium2" showFirstColumn="0" showLastColumn="0" showRowStripes="1" showColumnStripes="0"/>
</x:table>
</file>

<file path=xl/tables/table6.xml><?xml version="1.0" encoding="utf-8"?>
<x:table xmlns:x="http://schemas.openxmlformats.org/spreadsheetml/2006/main" id="6" name="AutomaticMetrics" displayName="AutomaticMetrics" ref="A1:L12" headerRowCount="1" totalsRowCount="0" totalsRowShown="0">
  <x:tableColumns count="12">
    <x:tableColumn id="1" name="Metric"/>
    <x:tableColumn id="2" name="Type"/>
    <x:tableColumn id="3" name="GPT-4o"/>
    <x:tableColumn id="4" name="Qwen3-8B"/>
    <x:tableColumn id="5" name="RAG"/>
    <x:tableColumn id="6" name="FT"/>
    <x:tableColumn id="7" name="RAG+FT"/>
    <x:tableColumn id="8" name="本研究_A"/>
    <x:tableColumn id="9" name="本研究_B"/>
    <x:tableColumn id="10" name="本研究_C"/>
    <x:tableColumn id="11" name="本研究_D"/>
    <x:tableColumn id="12" name="本研究计算状态"/>
  </x:tableColumns>
  <x:tableStyleInfo name="TableStyleMedium2" showFirstColumn="0" showLastColumn="0" showRowStripes="1" showColumnStripes="0"/>
</x:table>
</file>

<file path=xl/tables/table7.xml><?xml version="1.0" encoding="utf-8"?>
<x:table xmlns:x="http://schemas.openxmlformats.org/spreadsheetml/2006/main" id="7" name="QuestionBeta3" displayName="QuestionBeta3" ref="A1:I22" headerRowCount="1" totalsRowCount="0" totalsRowShown="0">
  <x:tableColumns count="9">
    <x:tableColumn id="1" name="question_id"/>
    <x:tableColumn id="2" name="A"/>
    <x:tableColumn id="3" name="B"/>
    <x:tableColumn id="4" name="C"/>
    <x:tableColumn id="5" name="D"/>
    <x:tableColumn id="6" name="rag_main_effect"/>
    <x:tableColumn id="7" name="skill_main_effect"/>
    <x:tableColumn id="8" name="beta3_interaction"/>
    <x:tableColumn id="9" name="case_typ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8bcfdb179d0d4616" /></Relationships>
</file>

<file path=xl/worksheets/_rels/sheet2.xml.rels>&#65279;<?xml version="1.0" encoding="utf-8"?><Relationships xmlns="http://schemas.openxmlformats.org/package/2006/relationships"><Relationship Type="http://schemas.openxmlformats.org/officeDocument/2006/relationships/table" Target="/xl/tables/table1.xml" Id="Rb94dd307f1d141d4" /></Relationships>
</file>

<file path=xl/worksheets/_rels/sheet3.xml.rels>&#65279;<?xml version="1.0" encoding="utf-8"?><Relationships xmlns="http://schemas.openxmlformats.org/package/2006/relationships"><Relationship Type="http://schemas.openxmlformats.org/officeDocument/2006/relationships/table" Target="/xl/tables/table2.xml" Id="Rd50b2adc09f047fb" /></Relationships>
</file>

<file path=xl/worksheets/_rels/sheet4.xml.rels>&#65279;<?xml version="1.0" encoding="utf-8"?><Relationships xmlns="http://schemas.openxmlformats.org/package/2006/relationships"><Relationship Type="http://schemas.openxmlformats.org/officeDocument/2006/relationships/table" Target="/xl/tables/table3.xml" Id="R63e4e24c2e9c472b" /></Relationships>
</file>

<file path=xl/worksheets/_rels/sheet5.xml.rels>&#65279;<?xml version="1.0" encoding="utf-8"?><Relationships xmlns="http://schemas.openxmlformats.org/package/2006/relationships"><Relationship Type="http://schemas.openxmlformats.org/officeDocument/2006/relationships/table" Target="/xl/tables/table4.xml" Id="Rcb115efcb95545c1" /></Relationships>
</file>

<file path=xl/worksheets/_rels/sheet6.xml.rels>&#65279;<?xml version="1.0" encoding="utf-8"?><Relationships xmlns="http://schemas.openxmlformats.org/package/2006/relationships"><Relationship Type="http://schemas.openxmlformats.org/officeDocument/2006/relationships/table" Target="/xl/tables/table5.xml" Id="R625df538f5734bbd" /></Relationships>
</file>

<file path=xl/worksheets/_rels/sheet7.xml.rels>&#65279;<?xml version="1.0" encoding="utf-8"?><Relationships xmlns="http://schemas.openxmlformats.org/package/2006/relationships"><Relationship Type="http://schemas.openxmlformats.org/officeDocument/2006/relationships/table" Target="/xl/tables/table6.xml" Id="R5bc247d4e260465c" /></Relationships>
</file>

<file path=xl/worksheets/_rels/sheet8.xml.rels>&#65279;<?xml version="1.0" encoding="utf-8"?><Relationships xmlns="http://schemas.openxmlformats.org/package/2006/relationships"><Relationship Type="http://schemas.openxmlformats.org/officeDocument/2006/relationships/table" Target="/xl/tables/table7.xml" Id="Re91107cc2caf43c3"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30" hidden="0" customWidth="1"/>
    <x:col min="3" max="3" width="24" hidden="0" customWidth="1"/>
    <x:col min="4" max="4" width="26" hidden="0" customWidth="1"/>
  </x:cols>
  <x:sheetData>
    <x:row r="1">
      <x:c r="A1" s="10" t="str">
        <x:v>RAG × Skill 2×2 析因实验：正式结果总览</x:v>
      </x:c>
      <x:c r="B1" s="10" t="str">
        <x:v>RAG × Skill 2×2 析因实验：正式结果总览</x:v>
      </x:c>
      <x:c r="C1" s="10" t="str">
        <x:v>RAG × Skill 2×2 析因实验：正式结果总览</x:v>
      </x:c>
      <x:c r="D1" s="10" t="str">
        <x:v>RAG × Skill 2×2 析因实验：正式结果总览</x:v>
      </x:c>
    </x:row>
    <x:row r="3">
      <x:c r="A3" s="13" t="str">
        <x:v>组别</x:v>
      </x:c>
      <x:c r="B3" s="13" t="str">
        <x:v>配置</x:v>
      </x:c>
      <x:c r="C3" s="13" t="str">
        <x:v>共同三维得分(%)</x:v>
      </x:c>
      <x:c r="D3" s="13" t="str">
        <x:v>适用维度归一化得分(%)</x:v>
      </x:c>
    </x:row>
    <x:row r="4">
      <x:c r="A4" s="14" t="str">
        <x:v>A</x:v>
      </x:c>
      <x:c r="B4" s="14" t="str">
        <x:v>无RAG / 无Skill</x:v>
      </x:c>
      <x:c r="C4" s="15" t="n">
        <x:f>'组级汇总'!M2</x:f>
        <x:v>92.8571</x:v>
      </x:c>
      <x:c r="D4" s="15" t="n">
        <x:f>'组级汇总'!N2</x:f>
        <x:v>92.8562</x:v>
      </x:c>
    </x:row>
    <x:row r="5">
      <x:c r="A5" s="14" t="str">
        <x:v>B</x:v>
      </x:c>
      <x:c r="B5" s="14" t="str">
        <x:v>RAG</x:v>
      </x:c>
      <x:c r="C5" s="15" t="n">
        <x:f>'组级汇总'!M3</x:f>
        <x:v>92.0635</x:v>
      </x:c>
      <x:c r="D5" s="15" t="n">
        <x:f>'组级汇总'!N3</x:f>
        <x:v>93.4524</x:v>
      </x:c>
    </x:row>
    <x:row r="6">
      <x:c r="A6" s="14" t="str">
        <x:v>C</x:v>
      </x:c>
      <x:c r="B6" s="14" t="str">
        <x:v>Skill</x:v>
      </x:c>
      <x:c r="C6" s="15" t="n">
        <x:f>'组级汇总'!M4</x:f>
        <x:v>89.6825</x:v>
      </x:c>
      <x:c r="D6" s="15" t="n">
        <x:f>'组级汇总'!N4</x:f>
        <x:v>92.0238</x:v>
      </x:c>
    </x:row>
    <x:row r="7">
      <x:c r="A7" s="14" t="str">
        <x:v>D</x:v>
      </x:c>
      <x:c r="B7" s="14" t="str">
        <x:v>RAG + Skill</x:v>
      </x:c>
      <x:c r="C7" s="15" t="n">
        <x:f>'组级汇总'!M5</x:f>
        <x:v>94.4444</x:v>
      </x:c>
      <x:c r="D7" s="15" t="n">
        <x:f>'组级汇总'!N5</x:f>
        <x:v>96.6667</x:v>
      </x:c>
    </x:row>
    <x:row r="9">
      <x:c r="A9" s="13" t="str">
        <x:v>关键结论</x:v>
      </x:c>
      <x:c r="B9" s="13" t="str">
        <x:v>实际值</x:v>
      </x:c>
      <x:c r="C9" s="13" t="str">
        <x:v>旧预期/假设</x:v>
      </x:c>
      <x:c r="D9" s="13" t="str">
        <x:v>判断</x:v>
      </x:c>
    </x:row>
    <x:row r="10">
      <x:c r="A10" s="14" t="str">
        <x:v>β₃交互效应（共同三维百分点）</x:v>
      </x:c>
      <x:c r="B10" s="14" t="n">
        <x:v>5.5552</x:v>
      </x:c>
      <x:c r="C10" s="14" t="n">
        <x:v>19.1</x:v>
      </x:c>
      <x:c r="D10" s="14" t="str">
        <x:v>正协同，但旧值不复现</x:v>
      </x:c>
    </x:row>
    <x:row r="11">
      <x:c r="A11" s="14" t="str">
        <x:v>D-C配对检验p值</x:v>
      </x:c>
      <x:c r="B11" s="16" t="n">
        <x:v>0.055416</x:v>
      </x:c>
      <x:c r="C11" s="14" t="n">
        <x:v>0.05</x:v>
      </x:c>
      <x:c r="D11" s="14" t="str">
        <x:v>接近显著，未达0.05</x:v>
      </x:c>
    </x:row>
    <x:row r="12">
      <x:c r="A12" s="14" t="str">
        <x:v>D组完整验证率</x:v>
      </x:c>
      <x:c r="B12" s="16" t="n">
        <x:v>0.095238</x:v>
      </x:c>
      <x:c r="C12" s="14" t="n">
        <x:v>0.805</x:v>
      </x:c>
      <x:c r="D12" s="14" t="str">
        <x:v>未达到</x:v>
      </x:c>
    </x:row>
    <x:row r="13">
      <x:c r="A13" s="14" t="str">
        <x:v>A组幻觉率</x:v>
      </x:c>
      <x:c r="B13" s="16" t="n">
        <x:v>0</x:v>
      </x:c>
      <x:c r="C13" s="14" t="n">
        <x:v>0.619</x:v>
      </x:c>
      <x:c r="D13" s="14" t="str">
        <x:v>旧预期不成立</x:v>
      </x:c>
    </x:row>
    <x:row r="14">
      <x:c r="A14" s="14" t="str">
        <x:v>协同/拮抗/中性题数</x:v>
      </x:c>
      <x:c r="B14" s="16" t="str">
        <x:v>5 / 1 / 15</x:v>
      </x:c>
      <x:c r="C14" s="14" t="str">
        <x:v>旧文档：3题拮抗</x:v>
      </x:c>
      <x:c r="D14" s="14" t="str">
        <x:v>以正式运行重算</x:v>
      </x:c>
    </x:row>
    <x:row r="15">
      <x:c r="A15" s="14" t="str">
        <x:v>BERTScore F1最高组</x:v>
      </x:c>
      <x:c r="B15" s="14" t="str">
        <x:v>D：0.721638</x:v>
      </x:c>
      <x:c r="C15" s="14" t="str">
        <x:v>&gt;0.6</x:v>
      </x:c>
      <x:c r="D15" s="14" t="str">
        <x:v>达到</x:v>
      </x:c>
    </x:row>
    <x:row r="17">
      <x:c r="A17" s="19" t="str">
        <x:v>说明</x:v>
      </x:c>
      <x:c r="B17" s="19" t="str">
        <x:v>内容</x:v>
      </x:c>
      <x:c r="C17" s="19" t="str"/>
      <x:c r="D17" s="19" t="str"/>
    </x:row>
    <x:row r="18">
      <x:c r="A18" s="20" t="str">
        <x:v>评分方式</x:v>
      </x:c>
      <x:c r="B18" s="20" t="str">
        <x:v>qwen3.8-max 盲化 LLM-as-judge；21题一次比较四组；五维0–2分，不适用记N/A</x:v>
      </x:c>
      <x:c r="C18" s="20" t="str"/>
      <x:c r="D18" s="20" t="str"/>
    </x:row>
    <x:row r="19">
      <x:c r="A19" s="20" t="str">
        <x:v>因果比较口径</x:v>
      </x:c>
      <x:c r="B19" s="20" t="str">
        <x:v>β₃仅使用四组共同适用的正确性、证据使用、可执行性三维百分制，避免N/A维度破坏2×2平衡</x:v>
      </x:c>
      <x:c r="C19" s="20" t="str"/>
      <x:c r="D19" s="20" t="str"/>
    </x:row>
    <x:row r="20">
      <x:c r="A20" s="20" t="str">
        <x:v>待人工步骤</x:v>
      </x:c>
      <x:c r="B20" s="20" t="str">
        <x:v>专家双盲复评与评分者一致性（kappa/ICC）仍需人工执行，不以LLM裁判替代</x:v>
      </x:c>
      <x:c r="C20" s="20" t="str"/>
      <x:c r="D20" s="20" t="str"/>
    </x:row>
  </x:sheetData>
  <x:mergeCells>
    <x:mergeCell ref="A1:D1"/>
    <x:mergeCell ref="B17:D17"/>
    <x:mergeCell ref="B18:D18"/>
    <x:mergeCell ref="B19:D19"/>
    <x:mergeCell ref="B20:D20"/>
  </x:mergeCells>
  <x:pageMargins left="0.7" right="0.7" top="0.75" bottom="0.75" header="0.3" footer="0.3"/>
  <x:drawing xmlns:r="http://schemas.openxmlformats.org/officeDocument/2006/relationships" r:id="R8bcfdb179d0d4616"/>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8"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s>
  <x:sheetData>
    <x:row r="1">
      <x:c r="A1" s="5" t="str">
        <x:v>group</x:v>
      </x:c>
      <x:c r="B1" s="5" t="str">
        <x:v>n</x:v>
      </x:c>
      <x:c r="C1" s="5" t="str">
        <x:v>correctness_mean</x:v>
      </x:c>
      <x:c r="D1" s="5" t="str">
        <x:v>correctness_n</x:v>
      </x:c>
      <x:c r="E1" s="5" t="str">
        <x:v>evidence_use_mean</x:v>
      </x:c>
      <x:c r="F1" s="5" t="str">
        <x:v>evidence_use_n</x:v>
      </x:c>
      <x:c r="G1" s="5" t="str">
        <x:v>actionability_mean</x:v>
      </x:c>
      <x:c r="H1" s="5" t="str">
        <x:v>actionability_n</x:v>
      </x:c>
      <x:c r="I1" s="5" t="str">
        <x:v>regulatory_basis_mean</x:v>
      </x:c>
      <x:c r="J1" s="5" t="str">
        <x:v>regulatory_basis_n</x:v>
      </x:c>
      <x:c r="K1" s="5" t="str">
        <x:v>skill_workflow_mean</x:v>
      </x:c>
      <x:c r="L1" s="5" t="str">
        <x:v>skill_workflow_n</x:v>
      </x:c>
      <x:c r="M1" s="5" t="str">
        <x:v>shared_score_100_mean</x:v>
      </x:c>
      <x:c r="N1" s="5" t="str">
        <x:v>normalized_score_100_mean</x:v>
      </x:c>
    </x:row>
    <x:row r="2">
      <x:c r="A2" s="7" t="str">
        <x:v>A</x:v>
      </x:c>
      <x:c r="B2" s="7" t="n">
        <x:v>21</x:v>
      </x:c>
      <x:c r="C2" s="7" t="n">
        <x:v>1.6667</x:v>
      </x:c>
      <x:c r="D2" s="7" t="n">
        <x:v>21</x:v>
      </x:c>
      <x:c r="E2" s="7" t="n">
        <x:v>1.9524</x:v>
      </x:c>
      <x:c r="F2" s="7" t="n">
        <x:v>21</x:v>
      </x:c>
      <x:c r="G2" s="7" t="n">
        <x:v>1.9524</x:v>
      </x:c>
      <x:c r="H2" s="7" t="n">
        <x:v>21</x:v>
      </x:c>
      <x:c r="I2" s="7" t="str">
        <x:v>N/A</x:v>
      </x:c>
      <x:c r="J2" s="7" t="n">
        <x:v>0</x:v>
      </x:c>
      <x:c r="K2" s="7" t="str">
        <x:v>N/A</x:v>
      </x:c>
      <x:c r="L2" s="7" t="n">
        <x:v>0</x:v>
      </x:c>
      <x:c r="M2" s="7" t="n">
        <x:v>92.8571</x:v>
      </x:c>
      <x:c r="N2" s="7" t="n">
        <x:v>92.8562</x:v>
      </x:c>
    </x:row>
    <x:row r="3">
      <x:c r="A3" s="7" t="str">
        <x:v>B</x:v>
      </x:c>
      <x:c r="B3" s="7" t="n">
        <x:v>21</x:v>
      </x:c>
      <x:c r="C3" s="7" t="n">
        <x:v>1.6667</x:v>
      </x:c>
      <x:c r="D3" s="7" t="n">
        <x:v>21</x:v>
      </x:c>
      <x:c r="E3" s="7" t="n">
        <x:v>1.9524</x:v>
      </x:c>
      <x:c r="F3" s="7" t="n">
        <x:v>21</x:v>
      </x:c>
      <x:c r="G3" s="7" t="n">
        <x:v>1.9048</x:v>
      </x:c>
      <x:c r="H3" s="7" t="n">
        <x:v>21</x:v>
      </x:c>
      <x:c r="I3" s="7" t="n">
        <x:v>1.9524</x:v>
      </x:c>
      <x:c r="J3" s="7" t="n">
        <x:v>21</x:v>
      </x:c>
      <x:c r="K3" s="7" t="str">
        <x:v>N/A</x:v>
      </x:c>
      <x:c r="L3" s="7" t="n">
        <x:v>0</x:v>
      </x:c>
      <x:c r="M3" s="7" t="n">
        <x:v>92.0635</x:v>
      </x:c>
      <x:c r="N3" s="7" t="n">
        <x:v>93.4524</x:v>
      </x:c>
    </x:row>
    <x:row r="4">
      <x:c r="A4" s="7" t="str">
        <x:v>C</x:v>
      </x:c>
      <x:c r="B4" s="7" t="n">
        <x:v>21</x:v>
      </x:c>
      <x:c r="C4" s="7" t="n">
        <x:v>1.5238</x:v>
      </x:c>
      <x:c r="D4" s="7" t="n">
        <x:v>21</x:v>
      </x:c>
      <x:c r="E4" s="7" t="n">
        <x:v>1.9524</x:v>
      </x:c>
      <x:c r="F4" s="7" t="n">
        <x:v>21</x:v>
      </x:c>
      <x:c r="G4" s="7" t="n">
        <x:v>1.9048</x:v>
      </x:c>
      <x:c r="H4" s="7" t="n">
        <x:v>21</x:v>
      </x:c>
      <x:c r="I4" s="7" t="n">
        <x:v>1</x:v>
      </x:c>
      <x:c r="J4" s="7" t="n">
        <x:v>1</x:v>
      </x:c>
      <x:c r="K4" s="7" t="n">
        <x:v>2</x:v>
      </x:c>
      <x:c r="L4" s="7" t="n">
        <x:v>21</x:v>
      </x:c>
      <x:c r="M4" s="7" t="n">
        <x:v>89.6825</x:v>
      </x:c>
      <x:c r="N4" s="7" t="n">
        <x:v>92.0238</x:v>
      </x:c>
    </x:row>
    <x:row r="5">
      <x:c r="A5" s="7" t="str">
        <x:v>D</x:v>
      </x:c>
      <x:c r="B5" s="7" t="n">
        <x:v>21</x:v>
      </x:c>
      <x:c r="C5" s="7" t="n">
        <x:v>1.7143</x:v>
      </x:c>
      <x:c r="D5" s="7" t="n">
        <x:v>21</x:v>
      </x:c>
      <x:c r="E5" s="7" t="n">
        <x:v>1.9524</x:v>
      </x:c>
      <x:c r="F5" s="7" t="n">
        <x:v>21</x:v>
      </x:c>
      <x:c r="G5" s="7" t="n">
        <x:v>2</x:v>
      </x:c>
      <x:c r="H5" s="7" t="n">
        <x:v>21</x:v>
      </x:c>
      <x:c r="I5" s="7" t="n">
        <x:v>2</x:v>
      </x:c>
      <x:c r="J5" s="7" t="n">
        <x:v>21</x:v>
      </x:c>
      <x:c r="K5" s="7" t="n">
        <x:v>2</x:v>
      </x:c>
      <x:c r="L5" s="7" t="n">
        <x:v>21</x:v>
      </x:c>
      <x:c r="M5" s="7" t="n">
        <x:v>94.4444</x:v>
      </x:c>
      <x:c r="N5" s="7" t="n">
        <x:v>96.6667</x:v>
      </x:c>
    </x:row>
  </x:sheetData>
  <x:pageMargins left="0.7" right="0.7" top="0.75" bottom="0.75" header="0.3" footer="0.3"/>
  <x:tableParts count="1">
    <x:tablePart xmlns:r="http://schemas.openxmlformats.org/officeDocument/2006/relationships" r:id="Rb94dd307f1d141d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8"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x:c r="A1" s="5" t="str">
        <x:v>group</x:v>
      </x:c>
      <x:c r="B1" s="5" t="str">
        <x:v>n</x:v>
      </x:c>
      <x:c r="C1" s="5" t="str">
        <x:v>hallucination_rate</x:v>
      </x:c>
      <x:c r="D1" s="5" t="str">
        <x:v>complete_validation_rate</x:v>
      </x:c>
      <x:c r="E1" s="5" t="str">
        <x:v>abstention_rate</x:v>
      </x:c>
      <x:c r="F1" s="5" t="str">
        <x:v>manual_review_rate</x:v>
      </x:c>
      <x:c r="G1" s="5" t="str">
        <x:v>judgement_correct_rate</x:v>
      </x:c>
      <x:c r="H1" s="5" t="str">
        <x:v>mean_evidence_count</x:v>
      </x:c>
      <x:c r="I1" s="5" t="str">
        <x:v>mean_check_count</x:v>
      </x:c>
      <x:c r="J1" s="5" t="str">
        <x:v>mean_reference_count</x:v>
      </x:c>
    </x:row>
    <x:row r="2">
      <x:c r="A2" s="7" t="str">
        <x:v>A</x:v>
      </x:c>
      <x:c r="B2" s="7" t="n">
        <x:v>21</x:v>
      </x:c>
      <x:c r="C2" s="7" t="n">
        <x:v>0</x:v>
      </x:c>
      <x:c r="D2" s="7" t="n">
        <x:v>0</x:v>
      </x:c>
      <x:c r="E2" s="7" t="n">
        <x:v>0</x:v>
      </x:c>
      <x:c r="F2" s="7" t="n">
        <x:v>0.5238095238095238</x:v>
      </x:c>
      <x:c r="G2" s="7" t="n">
        <x:v>0.6666666666666666</x:v>
      </x:c>
      <x:c r="H2" s="7" t="n">
        <x:v>5.381</x:v>
      </x:c>
      <x:c r="I2" s="7" t="n">
        <x:v>5.3333</x:v>
      </x:c>
      <x:c r="J2" s="7" t="n">
        <x:v>0.1905</x:v>
      </x:c>
    </x:row>
    <x:row r="3">
      <x:c r="A3" s="7" t="str">
        <x:v>B</x:v>
      </x:c>
      <x:c r="B3" s="7" t="n">
        <x:v>21</x:v>
      </x:c>
      <x:c r="C3" s="7" t="n">
        <x:v>0</x:v>
      </x:c>
      <x:c r="D3" s="7" t="n">
        <x:v>0.19047619047619047</x:v>
      </x:c>
      <x:c r="E3" s="7" t="n">
        <x:v>0</x:v>
      </x:c>
      <x:c r="F3" s="7" t="n">
        <x:v>0.5238095238095238</x:v>
      </x:c>
      <x:c r="G3" s="7" t="n">
        <x:v>0.6666666666666666</x:v>
      </x:c>
      <x:c r="H3" s="7" t="n">
        <x:v>5.3333</x:v>
      </x:c>
      <x:c r="I3" s="7" t="n">
        <x:v>5.9048</x:v>
      </x:c>
      <x:c r="J3" s="7" t="n">
        <x:v>3.0476</x:v>
      </x:c>
    </x:row>
    <x:row r="4">
      <x:c r="A4" s="7" t="str">
        <x:v>C</x:v>
      </x:c>
      <x:c r="B4" s="7" t="n">
        <x:v>21</x:v>
      </x:c>
      <x:c r="C4" s="7" t="n">
        <x:v>0</x:v>
      </x:c>
      <x:c r="D4" s="7" t="n">
        <x:v>0</x:v>
      </x:c>
      <x:c r="E4" s="7" t="n">
        <x:v>0</x:v>
      </x:c>
      <x:c r="F4" s="7" t="n">
        <x:v>0.8095238095238095</x:v>
      </x:c>
      <x:c r="G4" s="7" t="n">
        <x:v>0.5238095238095238</x:v>
      </x:c>
      <x:c r="H4" s="7" t="n">
        <x:v>6.9048</x:v>
      </x:c>
      <x:c r="I4" s="7" t="n">
        <x:v>6.9048</x:v>
      </x:c>
      <x:c r="J4" s="7" t="n">
        <x:v>0</x:v>
      </x:c>
    </x:row>
    <x:row r="5">
      <x:c r="A5" s="7" t="str">
        <x:v>D</x:v>
      </x:c>
      <x:c r="B5" s="7" t="n">
        <x:v>21</x:v>
      </x:c>
      <x:c r="C5" s="7" t="n">
        <x:v>0</x:v>
      </x:c>
      <x:c r="D5" s="7" t="n">
        <x:v>0.09523809523809523</x:v>
      </x:c>
      <x:c r="E5" s="7" t="n">
        <x:v>0</x:v>
      </x:c>
      <x:c r="F5" s="7" t="n">
        <x:v>0.8571428571428571</x:v>
      </x:c>
      <x:c r="G5" s="7" t="n">
        <x:v>0.7142857142857143</x:v>
      </x:c>
      <x:c r="H5" s="7" t="n">
        <x:v>6.0952</x:v>
      </x:c>
      <x:c r="I5" s="7" t="n">
        <x:v>7</x:v>
      </x:c>
      <x:c r="J5" s="7" t="n">
        <x:v>3.2857</x:v>
      </x:c>
    </x:row>
  </x:sheetData>
  <x:pageMargins left="0.7" right="0.7" top="0.75" bottom="0.75" header="0.3" footer="0.3"/>
  <x:tableParts count="1">
    <x:tablePart xmlns:r="http://schemas.openxmlformats.org/officeDocument/2006/relationships" r:id="Rd50b2adc09f047f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x:c r="A1" s="5" t="str">
        <x:v>outcome</x:v>
      </x:c>
      <x:c r="B1" s="5" t="str">
        <x:v>A_mean</x:v>
      </x:c>
      <x:c r="C1" s="5" t="str">
        <x:v>B_mean</x:v>
      </x:c>
      <x:c r="D1" s="5" t="str">
        <x:v>C_mean</x:v>
      </x:c>
      <x:c r="E1" s="5" t="str">
        <x:v>D_mean</x:v>
      </x:c>
      <x:c r="F1" s="5" t="str">
        <x:v>rag_main_effect</x:v>
      </x:c>
      <x:c r="G1" s="5" t="str">
        <x:v>skill_main_effect</x:v>
      </x:c>
      <x:c r="H1" s="5" t="str">
        <x:v>beta3_interaction</x:v>
      </x:c>
    </x:row>
    <x:row r="2">
      <x:c r="A2" s="7" t="str">
        <x:v>correctness</x:v>
      </x:c>
      <x:c r="B2" s="7" t="n">
        <x:v>1.6667</x:v>
      </x:c>
      <x:c r="C2" s="7" t="n">
        <x:v>1.6667</x:v>
      </x:c>
      <x:c r="D2" s="7" t="n">
        <x:v>1.5238</x:v>
      </x:c>
      <x:c r="E2" s="7" t="n">
        <x:v>1.7143</x:v>
      </x:c>
      <x:c r="F2" s="7" t="n">
        <x:v>0.0952</x:v>
      </x:c>
      <x:c r="G2" s="7" t="n">
        <x:v>-0.0476</x:v>
      </x:c>
      <x:c r="H2" s="7" t="n">
        <x:v>0.1905</x:v>
      </x:c>
    </x:row>
    <x:row r="3">
      <x:c r="A3" s="7" t="str">
        <x:v>evidence_use</x:v>
      </x:c>
      <x:c r="B3" s="7" t="n">
        <x:v>1.9524</x:v>
      </x:c>
      <x:c r="C3" s="7" t="n">
        <x:v>1.9524</x:v>
      </x:c>
      <x:c r="D3" s="7" t="n">
        <x:v>1.9524</x:v>
      </x:c>
      <x:c r="E3" s="7" t="n">
        <x:v>1.9524</x:v>
      </x:c>
      <x:c r="F3" s="7" t="n">
        <x:v>0</x:v>
      </x:c>
      <x:c r="G3" s="7" t="n">
        <x:v>0</x:v>
      </x:c>
      <x:c r="H3" s="7" t="n">
        <x:v>0</x:v>
      </x:c>
    </x:row>
    <x:row r="4">
      <x:c r="A4" s="7" t="str">
        <x:v>actionability</x:v>
      </x:c>
      <x:c r="B4" s="7" t="n">
        <x:v>1.9524</x:v>
      </x:c>
      <x:c r="C4" s="7" t="n">
        <x:v>1.9048</x:v>
      </x:c>
      <x:c r="D4" s="7" t="n">
        <x:v>1.9048</x:v>
      </x:c>
      <x:c r="E4" s="7" t="n">
        <x:v>2</x:v>
      </x:c>
      <x:c r="F4" s="7" t="n">
        <x:v>0.0238</x:v>
      </x:c>
      <x:c r="G4" s="7" t="n">
        <x:v>0.0238</x:v>
      </x:c>
      <x:c r="H4" s="7" t="n">
        <x:v>0.1429</x:v>
      </x:c>
    </x:row>
    <x:row r="5">
      <x:c r="A5" s="7" t="str">
        <x:v>shared_score_100</x:v>
      </x:c>
      <x:c r="B5" s="7" t="n">
        <x:v>92.8562</x:v>
      </x:c>
      <x:c r="C5" s="7" t="n">
        <x:v>92.0629</x:v>
      </x:c>
      <x:c r="D5" s="7" t="n">
        <x:v>89.6814</x:v>
      </x:c>
      <x:c r="E5" s="7" t="n">
        <x:v>94.4433</x:v>
      </x:c>
      <x:c r="F5" s="7" t="n">
        <x:v>1.9843</x:v>
      </x:c>
      <x:c r="G5" s="7" t="n">
        <x:v>-0.3971</x:v>
      </x:c>
      <x:c r="H5" s="7" t="n">
        <x:v>5.5552</x:v>
      </x:c>
    </x:row>
  </x:sheetData>
  <x:pageMargins left="0.7" right="0.7" top="0.75" bottom="0.75" header="0.3" footer="0.3"/>
  <x:tableParts count="1">
    <x:tablePart xmlns:r="http://schemas.openxmlformats.org/officeDocument/2006/relationships" r:id="R63e4e24c2e9c472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16" hidden="0" customWidth="1"/>
    <x:col min="4" max="4" width="16" hidden="0" customWidth="1"/>
    <x:col min="5" max="5" width="16" hidden="0" customWidth="1"/>
    <x:col min="6" max="6" width="16" hidden="0" customWidth="1"/>
  </x:cols>
  <x:sheetData>
    <x:row r="1">
      <x:c r="A1" s="5" t="str">
        <x:v>comparison</x:v>
      </x:c>
      <x:c r="B1" s="5" t="str">
        <x:v>mean_difference</x:v>
      </x:c>
      <x:c r="C1" s="5" t="str">
        <x:v>paired_t</x:v>
      </x:c>
      <x:c r="D1" s="5" t="str">
        <x:v>p_value_two_sided</x:v>
      </x:c>
      <x:c r="E1" s="5" t="str">
        <x:v>cohens_dz</x:v>
      </x:c>
      <x:c r="F1" s="5" t="str">
        <x:v>n</x:v>
      </x:c>
    </x:row>
    <x:row r="2">
      <x:c r="A2" s="7" t="str">
        <x:v>B-A</x:v>
      </x:c>
      <x:c r="B2" s="7" t="n">
        <x:v>-0.7933</x:v>
      </x:c>
      <x:c r="C2" s="7" t="n">
        <x:v>-0.2523</x:v>
      </x:c>
      <x:c r="D2" s="7" t="n">
        <x:v>0.803402</x:v>
      </x:c>
      <x:c r="E2" s="7" t="n">
        <x:v>-0.0551</x:v>
      </x:c>
      <x:c r="F2" s="7" t="n">
        <x:v>21</x:v>
      </x:c>
    </x:row>
    <x:row r="3">
      <x:c r="A3" s="7" t="str">
        <x:v>C-A</x:v>
      </x:c>
      <x:c r="B3" s="7" t="n">
        <x:v>-3.1748</x:v>
      </x:c>
      <x:c r="C3" s="7" t="n">
        <x:v>-1.7057</x:v>
      </x:c>
      <x:c r="D3" s="7" t="n">
        <x:v>0.103547</x:v>
      </x:c>
      <x:c r="E3" s="7" t="n">
        <x:v>-0.3722</x:v>
      </x:c>
      <x:c r="F3" s="7" t="n">
        <x:v>21</x:v>
      </x:c>
    </x:row>
    <x:row r="4">
      <x:c r="A4" s="7" t="str">
        <x:v>D-A</x:v>
      </x:c>
      <x:c r="B4" s="7" t="n">
        <x:v>1.5871</x:v>
      </x:c>
      <x:c r="C4" s="7" t="n">
        <x:v>0.5678</x:v>
      </x:c>
      <x:c r="D4" s="7" t="n">
        <x:v>0.576459</x:v>
      </x:c>
      <x:c r="E4" s="7" t="n">
        <x:v>0.1239</x:v>
      </x:c>
      <x:c r="F4" s="7" t="n">
        <x:v>21</x:v>
      </x:c>
    </x:row>
    <x:row r="5">
      <x:c r="A5" s="7" t="str">
        <x:v>C-B</x:v>
      </x:c>
      <x:c r="B5" s="7" t="n">
        <x:v>-2.3814</x:v>
      </x:c>
      <x:c r="C5" s="7" t="n">
        <x:v>-0.7672</x:v>
      </x:c>
      <x:c r="D5" s="7" t="n">
        <x:v>0.451952</x:v>
      </x:c>
      <x:c r="E5" s="7" t="n">
        <x:v>-0.1674</x:v>
      </x:c>
      <x:c r="F5" s="7" t="n">
        <x:v>21</x:v>
      </x:c>
    </x:row>
    <x:row r="6">
      <x:c r="A6" s="7" t="str">
        <x:v>D-B</x:v>
      </x:c>
      <x:c r="B6" s="7" t="n">
        <x:v>2.3805</x:v>
      </x:c>
      <x:c r="C6" s="7" t="n">
        <x:v>0.9003</x:v>
      </x:c>
      <x:c r="D6" s="7" t="n">
        <x:v>0.378684</x:v>
      </x:c>
      <x:c r="E6" s="7" t="n">
        <x:v>0.1965</x:v>
      </x:c>
      <x:c r="F6" s="7" t="n">
        <x:v>21</x:v>
      </x:c>
    </x:row>
    <x:row r="7">
      <x:c r="A7" s="7" t="str">
        <x:v>D-C</x:v>
      </x:c>
      <x:c r="B7" s="7" t="n">
        <x:v>4.7619</x:v>
      </x:c>
      <x:c r="C7" s="7" t="n">
        <x:v>2.0341</x:v>
      </x:c>
      <x:c r="D7" s="7" t="n">
        <x:v>0.055416</x:v>
      </x:c>
      <x:c r="E7" s="7" t="n">
        <x:v>0.4439</x:v>
      </x:c>
      <x:c r="F7" s="7" t="n">
        <x:v>21</x:v>
      </x:c>
    </x:row>
  </x:sheetData>
  <x:pageMargins left="0.7" right="0.7" top="0.75" bottom="0.75" header="0.3" footer="0.3"/>
  <x:tableParts count="1">
    <x:tablePart xmlns:r="http://schemas.openxmlformats.org/officeDocument/2006/relationships" r:id="Rcb115efcb95545c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6" hidden="0" customWidth="1"/>
    <x:col min="2" max="2" width="8"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72" hidden="0" customWidth="1"/>
  </x:cols>
  <x:sheetData>
    <x:row r="1">
      <x:c r="A1" s="5" t="str">
        <x:v>question_id</x:v>
      </x:c>
      <x:c r="B1" s="5" t="str">
        <x:v>group</x:v>
      </x:c>
      <x:c r="C1" s="5" t="str">
        <x:v>correctness</x:v>
      </x:c>
      <x:c r="D1" s="5" t="str">
        <x:v>evidence_use</x:v>
      </x:c>
      <x:c r="E1" s="5" t="str">
        <x:v>actionability</x:v>
      </x:c>
      <x:c r="F1" s="5" t="str">
        <x:v>regulatory_basis</x:v>
      </x:c>
      <x:c r="G1" s="5" t="str">
        <x:v>skill_workflow</x:v>
      </x:c>
      <x:c r="H1" s="5" t="str">
        <x:v>applicable_total</x:v>
      </x:c>
      <x:c r="I1" s="5" t="str">
        <x:v>applicable_max</x:v>
      </x:c>
      <x:c r="J1" s="5" t="str">
        <x:v>normalized_100</x:v>
      </x:c>
      <x:c r="K1" s="5" t="str">
        <x:v>rationale</x:v>
      </x:c>
    </x:row>
    <x:row r="2">
      <x:c r="A2" s="7" t="str">
        <x:v>PL001_Emission_固体</x:v>
      </x:c>
      <x:c r="B2" s="7" t="str">
        <x:v>A</x:v>
      </x:c>
      <x:c r="C2" s="7" t="n">
        <x:v>2</x:v>
      </x:c>
      <x:c r="D2" s="7" t="n">
        <x:v>2</x:v>
      </x:c>
      <x:c r="E2" s="7" t="n">
        <x:v>2</x:v>
      </x:c>
      <x:c r="F2" s="7" t="str">
        <x:v>N/A</x:v>
      </x:c>
      <x:c r="G2" s="7" t="str">
        <x:v>N/A</x:v>
      </x:c>
      <x:c r="H2" s="7" t="n">
        <x:v>6</x:v>
      </x:c>
      <x:c r="I2" s="7" t="n">
        <x:v>6</x:v>
      </x:c>
      <x:c r="J2" s="7" t="n">
        <x:v>100</x:v>
      </x:c>
      <x:c r="K2" s="7" t="str">
        <x:v>结论与参考答案一致，判定标准选取合理。准确引用报告中GB18599-2020在措施章节的引用作为证据，并给出补充列示的建议，符合评分规则中关于额外真实问题不扣分的要求。</x:v>
      </x:c>
    </x:row>
    <x:row r="3">
      <x:c r="A3" s="7" t="str">
        <x:v>PL001_Emission_固体</x:v>
      </x:c>
      <x:c r="B3" s="7" t="str">
        <x:v>B</x:v>
      </x:c>
      <x:c r="C3" s="7" t="n">
        <x:v>1</x:v>
      </x:c>
      <x:c r="D3" s="7" t="n">
        <x:v>2</x:v>
      </x:c>
      <x:c r="E3" s="7" t="n">
        <x:v>2</x:v>
      </x:c>
      <x:c r="F3" s="7" t="n">
        <x:v>2</x:v>
      </x:c>
      <x:c r="G3" s="7" t="str">
        <x:v>N/A</x:v>
      </x:c>
      <x:c r="H3" s="7" t="n">
        <x:v>7</x:v>
      </x:c>
      <x:c r="I3" s="7" t="n">
        <x:v>8</x:v>
      </x:c>
      <x:c r="J3" s="7" t="n">
        <x:v>87.5</x:v>
      </x:c>
      <x:c r="K3" s="7" t="str">
        <x:v>判定为部分完成，认为缺少GB18599-2020列示。虽指出了报告形式瑕疵，但忽略了参考答案明确该标准非必须且报告已在措施中引用的事实，导致结论过严，与金标不完全一致。</x:v>
      </x:c>
    </x:row>
    <x:row r="4">
      <x:c r="A4" s="7" t="str">
        <x:v>PL001_Emission_固体</x:v>
      </x:c>
      <x:c r="B4" s="7" t="str">
        <x:v>C</x:v>
      </x:c>
      <x:c r="C4" s="7" t="n">
        <x:v>1</x:v>
      </x:c>
      <x:c r="D4" s="7" t="n">
        <x:v>2</x:v>
      </x:c>
      <x:c r="E4" s="7" t="n">
        <x:v>2</x:v>
      </x:c>
      <x:c r="F4" s="7" t="str">
        <x:v>N/A</x:v>
      </x:c>
      <x:c r="G4" s="7" t="n">
        <x:v>2</x:v>
      </x:c>
      <x:c r="H4" s="7" t="n">
        <x:v>7</x:v>
      </x:c>
      <x:c r="I4" s="7" t="n">
        <x:v>8</x:v>
      </x:c>
      <x:c r="J4" s="7" t="n">
        <x:v>87.5</x:v>
      </x:c>
      <x:c r="K4" s="7" t="str">
        <x:v>判定存在问题，主要基于标准列示位置不一致。虽体现了审核技能并发现了数据自洽性问题，但对核心标准选取合理性的判断偏离了参考答案的宽容度，属于过度结论。</x:v>
      </x:c>
    </x:row>
    <x:row r="5">
      <x:c r="A5" s="7" t="str">
        <x:v>PL001_Emission_固体</x:v>
      </x:c>
      <x:c r="B5" s="7" t="str">
        <x:v>D</x:v>
      </x:c>
      <x:c r="C5" s="7" t="n">
        <x:v>1</x:v>
      </x:c>
      <x:c r="D5" s="7" t="n">
        <x:v>2</x:v>
      </x:c>
      <x:c r="E5" s="7" t="n">
        <x:v>2</x:v>
      </x:c>
      <x:c r="F5" s="7" t="n">
        <x:v>2</x:v>
      </x:c>
      <x:c r="G5" s="7" t="n">
        <x:v>2</x:v>
      </x:c>
      <x:c r="H5" s="7" t="n">
        <x:v>9</x:v>
      </x:c>
      <x:c r="I5" s="7" t="n">
        <x:v>10</x:v>
      </x:c>
      <x:c r="J5" s="7" t="n">
        <x:v>90</x:v>
      </x:c>
      <x:c r="K5" s="7" t="str">
        <x:v>判定存在问题，依据RAG指出GB18599适用边界问题。虽分析深入且发现名称不一致等真实问题，但对标准选取合理性的总体判断与参考答案“无误”的结论存在偏差，属过度审核。</x:v>
      </x:c>
    </x:row>
    <x:row r="6">
      <x:c r="A6" s="7" t="str">
        <x:v>PL001_EnvQuality_Q01</x:v>
      </x:c>
      <x:c r="B6" s="7" t="str">
        <x:v>A</x:v>
      </x:c>
      <x:c r="C6" s="7" t="n">
        <x:v>1</x:v>
      </x:c>
      <x:c r="D6" s="7" t="n">
        <x:v>2</x:v>
      </x:c>
      <x:c r="E6" s="7" t="n">
        <x:v>2</x:v>
      </x:c>
      <x:c r="F6" s="7" t="str">
        <x:v>N/A</x:v>
      </x:c>
      <x:c r="G6" s="7" t="str">
        <x:v>N/A</x:v>
      </x:c>
      <x:c r="H6" s="7" t="n">
        <x:v>5</x:v>
      </x:c>
      <x:c r="I6" s="7" t="n">
        <x:v>6</x:v>
      </x:c>
      <x:c r="J6" s="7" t="n">
        <x:v>83.33</x:v>
      </x:c>
      <x:c r="K6" s="7" t="str">
        <x:v>无RAG下准确识别表3-1年份混乱及地表水名称错配等真实问题，证据定位精准。因无法外部核验公报原文，结论保守判为存在问题而非参考答案的准确，属合理偏离，主要方向一致但有实质限制。</x:v>
      </x:c>
    </x:row>
    <x:row r="7">
      <x:c r="A7" s="7" t="str">
        <x:v>PL001_EnvQuality_Q01</x:v>
      </x:c>
      <x:c r="B7" s="7" t="str">
        <x:v>B</x:v>
      </x:c>
      <x:c r="C7" s="7" t="n">
        <x:v>2</x:v>
      </x:c>
      <x:c r="D7" s="7" t="n">
        <x:v>2</x:v>
      </x:c>
      <x:c r="E7" s="7" t="n">
        <x:v>2</x:v>
      </x:c>
      <x:c r="F7" s="7" t="n">
        <x:v>2</x:v>
      </x:c>
      <x:c r="G7" s="7" t="str">
        <x:v>N/A</x:v>
      </x:c>
      <x:c r="H7" s="7" t="n">
        <x:v>8</x:v>
      </x:c>
      <x:c r="I7" s="7" t="n">
        <x:v>8</x:v>
      </x:c>
      <x:c r="J7" s="7" t="n">
        <x:v>100</x:v>
      </x:c>
      <x:c r="K7" s="7" t="str">
        <x:v>利用RAG验证核心数据与公报一致，同时指出表格年份标注及变化率符号等报告自身错误。既确认了引用源正确性，又补充了参考答案未提及的真实瑕疵，符合评分规则中额外真实问题不扣分原则。</x:v>
      </x:c>
    </x:row>
    <x:row r="8">
      <x:c r="A8" s="7" t="str">
        <x:v>PL001_EnvQuality_Q01</x:v>
      </x:c>
      <x:c r="B8" s="7" t="str">
        <x:v>C</x:v>
      </x:c>
      <x:c r="C8" s="7" t="n">
        <x:v>1</x:v>
      </x:c>
      <x:c r="D8" s="7" t="n">
        <x:v>2</x:v>
      </x:c>
      <x:c r="E8" s="7" t="n">
        <x:v>2</x:v>
      </x:c>
      <x:c r="F8" s="7" t="str">
        <x:v>N/A</x:v>
      </x:c>
      <x:c r="G8" s="7" t="n">
        <x:v>2</x:v>
      </x:c>
      <x:c r="H8" s="7" t="n">
        <x:v>7</x:v>
      </x:c>
      <x:c r="I8" s="7" t="n">
        <x:v>8</x:v>
      </x:c>
      <x:c r="J8" s="7" t="n">
        <x:v>87.5</x:v>
      </x:c>
      <x:c r="K8" s="7" t="str">
        <x:v>完整体现内部核查工作流，精准发现表格年份错位及变化率符号错误。但因无RAG无法确认数据源准确性，判定为部分完成，虽指出的问题真实有效，但相对于参考答案的肯定性结论存在方向性差异。</x:v>
      </x:c>
    </x:row>
    <x:row r="9">
      <x:c r="A9" s="7" t="str">
        <x:v>PL001_EnvQuality_Q01</x:v>
      </x:c>
      <x:c r="B9" s="7" t="str">
        <x:v>D</x:v>
      </x:c>
      <x:c r="C9" s="7" t="n">
        <x:v>2</x:v>
      </x:c>
      <x:c r="D9" s="7" t="n">
        <x:v>2</x:v>
      </x:c>
      <x:c r="E9" s="7" t="n">
        <x:v>2</x:v>
      </x:c>
      <x:c r="F9" s="7" t="n">
        <x:v>2</x:v>
      </x:c>
      <x:c r="G9" s="7" t="n">
        <x:v>2</x:v>
      </x:c>
      <x:c r="H9" s="7" t="n">
        <x:v>10</x:v>
      </x:c>
      <x:c r="I9" s="7" t="n">
        <x:v>10</x:v>
      </x:c>
      <x:c r="J9" s="7" t="n">
        <x:v>100</x:v>
      </x:c>
      <x:c r="K9" s="7" t="str">
        <x:v>结合RAG与工作流，既验证了引用源正确，又详尽列出表格年份、符号及水体名称错配等具体错误。在确认参考答案核心结论基础上补充了真实质量问题，证据链完整，修改建议具体可执行。</x:v>
      </x:c>
    </x:row>
    <x:row r="10">
      <x:c r="A10" s="7" t="str">
        <x:v>PL001_V01_Q01</x:v>
      </x:c>
      <x:c r="B10" s="7" t="str">
        <x:v>A</x:v>
      </x:c>
      <x:c r="C10" s="7" t="n">
        <x:v>2</x:v>
      </x:c>
      <x:c r="D10" s="7" t="n">
        <x:v>2</x:v>
      </x:c>
      <x:c r="E10" s="7" t="n">
        <x:v>2</x:v>
      </x:c>
      <x:c r="F10" s="7" t="str">
        <x:v>N/A</x:v>
      </x:c>
      <x:c r="G10" s="7" t="str">
        <x:v>N/A</x:v>
      </x:c>
      <x:c r="H10" s="7" t="n">
        <x:v>6</x:v>
      </x:c>
      <x:c r="I10" s="7" t="n">
        <x:v>6</x:v>
      </x:c>
      <x:c r="J10" s="7" t="n">
        <x:v>100</x:v>
      </x:c>
      <x:c r="K10" s="7" t="str">
        <x:v>结论正确，证据引用准确。因rag/skill不可用，法规与流程评分为null。明确边界并提示C2921归类需核验，无问题时给出保持项与边界，可执行性强。</x:v>
      </x:c>
    </x:row>
    <x:row r="11">
      <x:c r="A11" s="7" t="str">
        <x:v>PL001_V01_Q01</x:v>
      </x:c>
      <x:c r="B11" s="7" t="str">
        <x:v>B</x:v>
      </x:c>
      <x:c r="C11" s="7" t="n">
        <x:v>2</x:v>
      </x:c>
      <x:c r="D11" s="7" t="n">
        <x:v>2</x:v>
      </x:c>
      <x:c r="E11" s="7" t="n">
        <x:v>2</x:v>
      </x:c>
      <x:c r="F11" s="7" t="n">
        <x:v>2</x:v>
      </x:c>
      <x:c r="G11" s="7" t="str">
        <x:v>N/A</x:v>
      </x:c>
      <x:c r="H11" s="7" t="n">
        <x:v>8</x:v>
      </x:c>
      <x:c r="I11" s="7" t="n">
        <x:v>8</x:v>
      </x:c>
      <x:c r="J11" s="7" t="n">
        <x:v>100</x:v>
      </x:c>
      <x:c r="K11" s="7" t="str">
        <x:v>结论与证据均正确，引用了分类标准支持判断。建议补充说明以增强论证，具备可操作性。skill不可用故流程为null，法规依据充分。</x:v>
      </x:c>
    </x:row>
    <x:row r="12">
      <x:c r="A12" s="7" t="str">
        <x:v>PL001_V01_Q01</x:v>
      </x:c>
      <x:c r="B12" s="7" t="str">
        <x:v>C</x:v>
      </x:c>
      <x:c r="C12" s="7" t="n">
        <x:v>2</x:v>
      </x:c>
      <x:c r="D12" s="7" t="n">
        <x:v>2</x:v>
      </x:c>
      <x:c r="E12" s="7" t="n">
        <x:v>2</x:v>
      </x:c>
      <x:c r="F12" s="7" t="str">
        <x:v>N/A</x:v>
      </x:c>
      <x:c r="G12" s="7" t="n">
        <x:v>2</x:v>
      </x:c>
      <x:c r="H12" s="7" t="n">
        <x:v>8</x:v>
      </x:c>
      <x:c r="I12" s="7" t="n">
        <x:v>8</x:v>
      </x:c>
      <x:c r="J12" s="7" t="n">
        <x:v>100</x:v>
      </x:c>
      <x:c r="K12" s="7" t="str">
        <x:v>结论正确，证据详实。完整体现分步核查与边界分析，指出主次关系判定缺失及标准原文未附，提供了具体核验方向。rag不可用故法规为null。</x:v>
      </x:c>
    </x:row>
    <x:row r="13">
      <x:c r="A13" s="7" t="str">
        <x:v>PL001_V01_Q01</x:v>
      </x:c>
      <x:c r="B13" s="7" t="str">
        <x:v>D</x:v>
      </x:c>
      <x:c r="C13" s="7" t="n">
        <x:v>2</x:v>
      </x:c>
      <x:c r="D13" s="7" t="n">
        <x:v>2</x:v>
      </x:c>
      <x:c r="E13" s="7" t="n">
        <x:v>2</x:v>
      </x:c>
      <x:c r="F13" s="7" t="n">
        <x:v>2</x:v>
      </x:c>
      <x:c r="G13" s="7" t="n">
        <x:v>2</x:v>
      </x:c>
      <x:c r="H13" s="7" t="n">
        <x:v>10</x:v>
      </x:c>
      <x:c r="I13" s="7" t="n">
        <x:v>10</x:v>
      </x:c>
      <x:c r="J13" s="7" t="n">
        <x:v>100</x:v>
      </x:c>
      <x:c r="K13" s="7" t="str">
        <x:v>结论正确，证据链完整。结合RAG验证了分类定义，完整执行审核工作流，明确了印刷工序不单独归类的边界，分析全面且依据充分。</x:v>
      </x:c>
    </x:row>
    <x:row r="14">
      <x:c r="A14" s="7" t="str">
        <x:v>PL002_Emission_噪声</x:v>
      </x:c>
      <x:c r="B14" s="7" t="str">
        <x:v>A</x:v>
      </x:c>
      <x:c r="C14" s="7" t="n">
        <x:v>2</x:v>
      </x:c>
      <x:c r="D14" s="7" t="n">
        <x:v>2</x:v>
      </x:c>
      <x:c r="E14" s="7" t="n">
        <x:v>2</x:v>
      </x:c>
      <x:c r="F14" s="7" t="str">
        <x:v>N/A</x:v>
      </x:c>
      <x:c r="G14" s="7" t="str">
        <x:v>N/A</x:v>
      </x:c>
      <x:c r="H14" s="7" t="n">
        <x:v>6</x:v>
      </x:c>
      <x:c r="I14" s="7" t="n">
        <x:v>6</x:v>
      </x:c>
      <x:c r="J14" s="7" t="n">
        <x:v>100</x:v>
      </x:c>
      <x:c r="K14" s="7" t="str">
        <x:v>准确识别标准限值及GB3096引用错误，指出功能区依据缺失。证据定位精准，修改建议具体可执行。无RAG/Skill条件下表现最优，结论与金标一致且补充了真实问题。</x:v>
      </x:c>
    </x:row>
    <x:row r="15">
      <x:c r="A15" s="7" t="str">
        <x:v>PL002_Emission_噪声</x:v>
      </x:c>
      <x:c r="B15" s="7" t="str">
        <x:v>B</x:v>
      </x:c>
      <x:c r="C15" s="7" t="n">
        <x:v>2</x:v>
      </x:c>
      <x:c r="D15" s="7" t="n">
        <x:v>2</x:v>
      </x:c>
      <x:c r="E15" s="7" t="n">
        <x:v>2</x:v>
      </x:c>
      <x:c r="F15" s="7" t="n">
        <x:v>2</x:v>
      </x:c>
      <x:c r="G15" s="7" t="str">
        <x:v>N/A</x:v>
      </x:c>
      <x:c r="H15" s="7" t="n">
        <x:v>8</x:v>
      </x:c>
      <x:c r="I15" s="7" t="n">
        <x:v>8</x:v>
      </x:c>
      <x:c r="J15" s="7" t="n">
        <x:v>100</x:v>
      </x:c>
      <x:c r="K15" s="7" t="str">
        <x:v>利用RAG验证限值正确，识别GB3096引用错误及功能区依据缺失。证据充分，法规依据完整，给出了明确的核实与修正建议，审核质量高。</x:v>
      </x:c>
    </x:row>
    <x:row r="16">
      <x:c r="A16" s="7" t="str">
        <x:v>PL002_Emission_噪声</x:v>
      </x:c>
      <x:c r="B16" s="7" t="str">
        <x:v>C</x:v>
      </x:c>
      <x:c r="C16" s="7" t="n">
        <x:v>2</x:v>
      </x:c>
      <x:c r="D16" s="7" t="n">
        <x:v>2</x:v>
      </x:c>
      <x:c r="E16" s="7" t="n">
        <x:v>2</x:v>
      </x:c>
      <x:c r="F16" s="7" t="str">
        <x:v>N/A</x:v>
      </x:c>
      <x:c r="G16" s="7" t="n">
        <x:v>2</x:v>
      </x:c>
      <x:c r="H16" s="7" t="n">
        <x:v>8</x:v>
      </x:c>
      <x:c r="I16" s="7" t="n">
        <x:v>8</x:v>
      </x:c>
      <x:c r="J16" s="7" t="n">
        <x:v>100</x:v>
      </x:c>
      <x:c r="K16" s="7" t="str">
        <x:v>体现完整审核工作流，识别标准引用错误及功能区依据缺失，额外发现夜间监测逻辑矛盾。证据链完整，行动建议具体，Skill应用规范。</x:v>
      </x:c>
    </x:row>
    <x:row r="17">
      <x:c r="A17" s="7" t="str">
        <x:v>PL002_Emission_噪声</x:v>
      </x:c>
      <x:c r="B17" s="7" t="str">
        <x:v>D</x:v>
      </x:c>
      <x:c r="C17" s="7" t="n">
        <x:v>2</x:v>
      </x:c>
      <x:c r="D17" s="7" t="n">
        <x:v>2</x:v>
      </x:c>
      <x:c r="E17" s="7" t="n">
        <x:v>2</x:v>
      </x:c>
      <x:c r="F17" s="7" t="n">
        <x:v>2</x:v>
      </x:c>
      <x:c r="G17" s="7" t="n">
        <x:v>2</x:v>
      </x:c>
      <x:c r="H17" s="7" t="n">
        <x:v>10</x:v>
      </x:c>
      <x:c r="I17" s="7" t="n">
        <x:v>10</x:v>
      </x:c>
      <x:c r="J17" s="7" t="n">
        <x:v>100</x:v>
      </x:c>
      <x:c r="K17" s="7" t="str">
        <x:v>结合RAG与Skill全面审核，识别GB3096误用、功能区依据缺失及监测计划矛盾。法规与工作流均满分，证据详实，建议可操作性强，综合表现最佳。</x:v>
      </x:c>
    </x:row>
    <x:row r="18">
      <x:c r="A18" s="7" t="str">
        <x:v>PL002_Emission_固体</x:v>
      </x:c>
      <x:c r="B18" s="7" t="str">
        <x:v>A</x:v>
      </x:c>
      <x:c r="C18" s="7" t="n">
        <x:v>1</x:v>
      </x:c>
      <x:c r="D18" s="7" t="n">
        <x:v>2</x:v>
      </x:c>
      <x:c r="E18" s="7" t="n">
        <x:v>2</x:v>
      </x:c>
      <x:c r="F18" s="7" t="str">
        <x:v>N/A</x:v>
      </x:c>
      <x:c r="G18" s="7" t="str">
        <x:v>N/A</x:v>
      </x:c>
      <x:c r="H18" s="7" t="n">
        <x:v>5</x:v>
      </x:c>
      <x:c r="I18" s="7" t="n">
        <x:v>6</x:v>
      </x:c>
      <x:c r="J18" s="7" t="n">
        <x:v>83.33</x:v>
      </x:c>
      <x:c r="K18" s="7" t="str">
        <x:v>结论与参考答案基本一致但过度判定不合规。准确识别新旧标准混用问题，证据定位精准。因rag不可用未扣分，但将非必须项缺失作为否定依据略显严苛。</x:v>
      </x:c>
    </x:row>
    <x:row r="19">
      <x:c r="A19" s="7" t="str">
        <x:v>PL002_Emission_固体</x:v>
      </x:c>
      <x:c r="B19" s="7" t="str">
        <x:v>B</x:v>
      </x:c>
      <x:c r="C19" s="7" t="n">
        <x:v>1</x:v>
      </x:c>
      <x:c r="D19" s="7" t="n">
        <x:v>2</x:v>
      </x:c>
      <x:c r="E19" s="7" t="n">
        <x:v>2</x:v>
      </x:c>
      <x:c r="F19" s="7" t="n">
        <x:v>2</x:v>
      </x:c>
      <x:c r="G19" s="7" t="str">
        <x:v>N/A</x:v>
      </x:c>
      <x:c r="H19" s="7" t="n">
        <x:v>7</x:v>
      </x:c>
      <x:c r="I19" s="7" t="n">
        <x:v>8</x:v>
      </x:c>
      <x:c r="J19" s="7" t="n">
        <x:v>87.5</x:v>
      </x:c>
      <x:c r="K19" s="7" t="str">
        <x:v>正确指出GB18599版本冲突及适用边界问题，证据充分且法规依据准确。虽判“存在问题”与金标“无误”有偏差，但属对报告真实缺陷的合理补充，未盲目偏袒。</x:v>
      </x:c>
    </x:row>
    <x:row r="20">
      <x:c r="A20" s="7" t="str">
        <x:v>PL002_Emission_固体</x:v>
      </x:c>
      <x:c r="B20" s="7" t="str">
        <x:v>C</x:v>
      </x:c>
      <x:c r="C20" s="7" t="n">
        <x:v>1</x:v>
      </x:c>
      <x:c r="D20" s="7" t="n">
        <x:v>2</x:v>
      </x:c>
      <x:c r="E20" s="7" t="n">
        <x:v>2</x:v>
      </x:c>
      <x:c r="F20" s="7" t="str">
        <x:v>N/A</x:v>
      </x:c>
      <x:c r="G20" s="7" t="n">
        <x:v>2</x:v>
      </x:c>
      <x:c r="H20" s="7" t="n">
        <x:v>7</x:v>
      </x:c>
      <x:c r="I20" s="7" t="n">
        <x:v>8</x:v>
      </x:c>
      <x:c r="J20" s="7" t="n">
        <x:v>87.5</x:v>
      </x:c>
      <x:c r="K20" s="7" t="str">
        <x:v>完整体现审核工作流，发现代码不一致等额外真实问题。因无RAG无法验证标准有效性，但内部一致性核查到位，结论虽严但有据，符合技能要求。</x:v>
      </x:c>
    </x:row>
    <x:row r="21">
      <x:c r="A21" s="7" t="str">
        <x:v>PL002_Emission_固体</x:v>
      </x:c>
      <x:c r="B21" s="7" t="str">
        <x:v>D</x:v>
      </x:c>
      <x:c r="C21" s="7" t="n">
        <x:v>1</x:v>
      </x:c>
      <x:c r="D21" s="7" t="n">
        <x:v>2</x:v>
      </x:c>
      <x:c r="E21" s="7" t="n">
        <x:v>2</x:v>
      </x:c>
      <x:c r="F21" s="7" t="n">
        <x:v>2</x:v>
      </x:c>
      <x:c r="G21" s="7" t="n">
        <x:v>2</x:v>
      </x:c>
      <x:c r="H21" s="7" t="n">
        <x:v>9</x:v>
      </x:c>
      <x:c r="I21" s="7" t="n">
        <x:v>10</x:v>
      </x:c>
      <x:c r="J21" s="7" t="n">
        <x:v>90</x:v>
      </x:c>
      <x:c r="K21" s="7" t="str">
        <x:v>综合表现最佳。既验证标准版本冲突，又发现危废代码不一致等实质问题，证据链完整，法规与工作流均达标。结论虽异于金标，但基于报告真实缺陷，不应扣分。</x:v>
      </x:c>
    </x:row>
    <x:row r="22">
      <x:c r="A22" s="7" t="str">
        <x:v>PL002_Emission_大气</x:v>
      </x:c>
      <x:c r="B22" s="7" t="str">
        <x:v>A</x:v>
      </x:c>
      <x:c r="C22" s="7" t="n">
        <x:v>2</x:v>
      </x:c>
      <x:c r="D22" s="7" t="n">
        <x:v>2</x:v>
      </x:c>
      <x:c r="E22" s="7" t="n">
        <x:v>2</x:v>
      </x:c>
      <x:c r="F22" s="7" t="str">
        <x:v>N/A</x:v>
      </x:c>
      <x:c r="G22" s="7" t="str">
        <x:v>N/A</x:v>
      </x:c>
      <x:c r="H22" s="7" t="n">
        <x:v>6</x:v>
      </x:c>
      <x:c r="I22" s="7" t="n">
        <x:v>6</x:v>
      </x:c>
      <x:c r="J22" s="7" t="n">
        <x:v>100</x:v>
      </x:c>
      <x:c r="K22" s="7" t="str">
        <x:v>结论判定存在问题合理，准确识别限值不一致、标准列示不全及臭气高度匹配等实质问题。证据引用精准定位报告内部矛盾，修改建议具体可执行。虽无RAG/Skill，但基于报告内容的审核深度与完整性优于其他回答。</x:v>
      </x:c>
    </x:row>
    <x:row r="23">
      <x:c r="A23" s="7" t="str">
        <x:v>PL002_Emission_大气</x:v>
      </x:c>
      <x:c r="B23" s="7" t="str">
        <x:v>B</x:v>
      </x:c>
      <x:c r="C23" s="7" t="n">
        <x:v>2</x:v>
      </x:c>
      <x:c r="D23" s="7" t="n">
        <x:v>2</x:v>
      </x:c>
      <x:c r="E23" s="7" t="n">
        <x:v>2</x:v>
      </x:c>
      <x:c r="F23" s="7" t="n">
        <x:v>2</x:v>
      </x:c>
      <x:c r="G23" s="7" t="str">
        <x:v>N/A</x:v>
      </x:c>
      <x:c r="H23" s="7" t="n">
        <x:v>8</x:v>
      </x:c>
      <x:c r="I23" s="7" t="n">
        <x:v>8</x:v>
      </x:c>
      <x:c r="J23" s="7" t="n">
        <x:v>100</x:v>
      </x:c>
      <x:c r="K23" s="7" t="str">
        <x:v>正确识别限值不一致及单位产品排放量缺失等关键问题，法规依据充分。证据使用规范，建议具备可操作性。相比R1/R4，未深入分析臭气浓度排气筒高度与标准值的匹配逻辑，细节核查略逊一筹。</x:v>
      </x:c>
    </x:row>
    <x:row r="24">
      <x:c r="A24" s="7" t="str">
        <x:v>PL002_Emission_大气</x:v>
      </x:c>
      <x:c r="B24" s="7" t="str">
        <x:v>C</x:v>
      </x:c>
      <x:c r="C24" s="7" t="n">
        <x:v>2</x:v>
      </x:c>
      <x:c r="D24" s="7" t="n">
        <x:v>2</x:v>
      </x:c>
      <x:c r="E24" s="7" t="n">
        <x:v>2</x:v>
      </x:c>
      <x:c r="F24" s="7" t="str">
        <x:v>N/A</x:v>
      </x:c>
      <x:c r="G24" s="7" t="n">
        <x:v>2</x:v>
      </x:c>
      <x:c r="H24" s="7" t="n">
        <x:v>8</x:v>
      </x:c>
      <x:c r="I24" s="7" t="n">
        <x:v>8</x:v>
      </x:c>
      <x:c r="J24" s="7" t="n">
        <x:v>100</x:v>
      </x:c>
      <x:c r="K24" s="7" t="str">
        <x:v>完整体现审核工作流，准确发现限值矛盾、因子不统一及标准缺漏。证据链清晰，整改意见明确。受限于无RAG，未能像R4那样结合外部标准条款验证臭气高度取值合理性，外部合规性校验稍弱。</x:v>
      </x:c>
    </x:row>
    <x:row r="25">
      <x:c r="A25" s="7" t="str">
        <x:v>PL002_Emission_大气</x:v>
      </x:c>
      <x:c r="B25" s="7" t="str">
        <x:v>D</x:v>
      </x:c>
      <x:c r="C25" s="7" t="n">
        <x:v>2</x:v>
      </x:c>
      <x:c r="D25" s="7" t="n">
        <x:v>2</x:v>
      </x:c>
      <x:c r="E25" s="7" t="n">
        <x:v>2</x:v>
      </x:c>
      <x:c r="F25" s="7" t="n">
        <x:v>2</x:v>
      </x:c>
      <x:c r="G25" s="7" t="n">
        <x:v>2</x:v>
      </x:c>
      <x:c r="H25" s="7" t="n">
        <x:v>10</x:v>
      </x:c>
      <x:c r="I25" s="7" t="n">
        <x:v>10</x:v>
      </x:c>
      <x:c r="J25" s="7" t="n">
        <x:v>100</x:v>
      </x:c>
      <x:c r="K25" s="7" t="str">
        <x:v>审核最全面，除共性限值问题外，利用RAG精准指出臭气30m排气筒直接套用25m限值的方法错误及特征污染物缺失。工作流完整，法规依据确凿，证据定位准确，修改建议针对性强，体现了最高审核水准。</x:v>
      </x:c>
    </x:row>
    <x:row r="26">
      <x:c r="A26" s="7" t="str">
        <x:v>PL002_EnvQuality_Q01</x:v>
      </x:c>
      <x:c r="B26" s="7" t="str">
        <x:v>A</x:v>
      </x:c>
      <x:c r="C26" s="7" t="n">
        <x:v>1</x:v>
      </x:c>
      <x:c r="D26" s="7" t="n">
        <x:v>2</x:v>
      </x:c>
      <x:c r="E26" s="7" t="n">
        <x:v>2</x:v>
      </x:c>
      <x:c r="F26" s="7" t="str">
        <x:v>N/A</x:v>
      </x:c>
      <x:c r="G26" s="7" t="str">
        <x:v>N/A</x:v>
      </x:c>
      <x:c r="H26" s="7" t="n">
        <x:v>5</x:v>
      </x:c>
      <x:c r="I26" s="7" t="n">
        <x:v>6</x:v>
      </x:c>
      <x:c r="J26" s="7" t="n">
        <x:v>83.33</x:v>
      </x:c>
      <x:c r="K26" s="7" t="str">
        <x:v>无RAG下准确识别表3-1年份错位及变化率符号缺失等实质问题，证据定位精准且修改建议具体。因无法外部核验公报原文，未能确认核心数据正确性，故正确性扣1分，但符合盲评规则不扣分。</x:v>
      </x:c>
    </x:row>
    <x:row r="27">
      <x:c r="A27" s="7" t="str">
        <x:v>PL002_EnvQuality_Q01</x:v>
      </x:c>
      <x:c r="B27" s="7" t="str">
        <x:v>B</x:v>
      </x:c>
      <x:c r="C27" s="7" t="n">
        <x:v>2</x:v>
      </x:c>
      <x:c r="D27" s="7" t="n">
        <x:v>2</x:v>
      </x:c>
      <x:c r="E27" s="7" t="n">
        <x:v>2</x:v>
      </x:c>
      <x:c r="F27" s="7" t="n">
        <x:v>2</x:v>
      </x:c>
      <x:c r="G27" s="7" t="str">
        <x:v>N/A</x:v>
      </x:c>
      <x:c r="H27" s="7" t="n">
        <x:v>8</x:v>
      </x:c>
      <x:c r="I27" s="7" t="n">
        <x:v>8</x:v>
      </x:c>
      <x:c r="J27" s="7" t="n">
        <x:v>100</x:v>
      </x:c>
      <x:c r="K27" s="7" t="str">
        <x:v>利用RAG验证了核心数据与公报一致，同时指出表格年份标注及变化率符号错误，结论全面准确。证据链完整，法规依据充分，修改建议具体可执行，完全覆盖参考答案并补充了真实质量问题。</x:v>
      </x:c>
    </x:row>
    <x:row r="28">
      <x:c r="A28" s="7" t="str">
        <x:v>PL002_EnvQuality_Q01</x:v>
      </x:c>
      <x:c r="B28" s="7" t="str">
        <x:v>C</x:v>
      </x:c>
      <x:c r="C28" s="7" t="n">
        <x:v>1</x:v>
      </x:c>
      <x:c r="D28" s="7" t="n">
        <x:v>2</x:v>
      </x:c>
      <x:c r="E28" s="7" t="n">
        <x:v>2</x:v>
      </x:c>
      <x:c r="F28" s="7" t="str">
        <x:v>N/A</x:v>
      </x:c>
      <x:c r="G28" s="7" t="n">
        <x:v>2</x:v>
      </x:c>
      <x:c r="H28" s="7" t="n">
        <x:v>7</x:v>
      </x:c>
      <x:c r="I28" s="7" t="n">
        <x:v>8</x:v>
      </x:c>
      <x:c r="J28" s="7" t="n">
        <x:v>87.5</x:v>
      </x:c>
      <x:c r="K28" s="7" t="str">
        <x:v>体现了完整的内部核查工作流，精准发现表格年份错位、变化率计算错误及OCR解析风险。受限于无RAG无法验证数据真伪，判定为部分完成属合理审慎，但未确认数据正确性，故正确性为1。</x:v>
      </x:c>
    </x:row>
    <x:row r="29">
      <x:c r="A29" s="7" t="str">
        <x:v>PL002_EnvQuality_Q01</x:v>
      </x:c>
      <x:c r="B29" s="7" t="str">
        <x:v>D</x:v>
      </x:c>
      <x:c r="C29" s="7" t="n">
        <x:v>2</x:v>
      </x:c>
      <x:c r="D29" s="7" t="n">
        <x:v>2</x:v>
      </x:c>
      <x:c r="E29" s="7" t="n">
        <x:v>2</x:v>
      </x:c>
      <x:c r="F29" s="7" t="n">
        <x:v>2</x:v>
      </x:c>
      <x:c r="G29" s="7" t="n">
        <x:v>2</x:v>
      </x:c>
      <x:c r="H29" s="7" t="n">
        <x:v>10</x:v>
      </x:c>
      <x:c r="I29" s="7" t="n">
        <x:v>10</x:v>
      </x:c>
      <x:c r="J29" s="7" t="n">
        <x:v>100</x:v>
      </x:c>
      <x:c r="K29" s="7" t="str">
        <x:v>结合RAG与技能工作流，既验证了数据准确性，又发现了表格年份误写、符号缺失及章节间引用年份不统一等问题。证据详实，法规依据正确，审核维度比参考答案更全面，行动建议具体明确。</x:v>
      </x:c>
    </x:row>
    <x:row r="30">
      <x:c r="A30" s="7" t="str">
        <x:v>PL002_V01_Q01</x:v>
      </x:c>
      <x:c r="B30" s="7" t="str">
        <x:v>A</x:v>
      </x:c>
      <x:c r="C30" s="7" t="n">
        <x:v>2</x:v>
      </x:c>
      <x:c r="D30" s="7" t="n">
        <x:v>2</x:v>
      </x:c>
      <x:c r="E30" s="7" t="n">
        <x:v>2</x:v>
      </x:c>
      <x:c r="F30" s="7" t="str">
        <x:v>N/A</x:v>
      </x:c>
      <x:c r="G30" s="7" t="str">
        <x:v>N/A</x:v>
      </x:c>
      <x:c r="H30" s="7" t="n">
        <x:v>6</x:v>
      </x:c>
      <x:c r="I30" s="7" t="n">
        <x:v>6</x:v>
      </x:c>
      <x:c r="J30" s="7" t="n">
        <x:v>100</x:v>
      </x:c>
      <x:c r="K30" s="7" t="str">
        <x:v>结论与参考答案一致，准确识别产品及工艺支持C2929分类。额外指出VOCs及原辅料数据不一致问题，证据定位清晰，修改建议具体可执行，符合评分规则对真实问题的加分项。</x:v>
      </x:c>
    </x:row>
    <x:row r="31">
      <x:c r="A31" s="7" t="str">
        <x:v>PL002_V01_Q01</x:v>
      </x:c>
      <x:c r="B31" s="7" t="str">
        <x:v>B</x:v>
      </x:c>
      <x:c r="C31" s="7" t="n">
        <x:v>1</x:v>
      </x:c>
      <x:c r="D31" s="7" t="n">
        <x:v>2</x:v>
      </x:c>
      <x:c r="E31" s="7" t="n">
        <x:v>2</x:v>
      </x:c>
      <x:c r="F31" s="7" t="n">
        <x:v>2</x:v>
      </x:c>
      <x:c r="G31" s="7" t="str">
        <x:v>N/A</x:v>
      </x:c>
      <x:c r="H31" s="7" t="n">
        <x:v>7</x:v>
      </x:c>
      <x:c r="I31" s="7" t="n">
        <x:v>8</x:v>
      </x:c>
      <x:c r="J31" s="7" t="n">
        <x:v>87.5</x:v>
      </x:c>
      <x:c r="K31" s="7" t="str">
        <x:v>虽引用RAG提示C2651边界风险，但过度质疑导致结论为“待复核”，与金标“正确”存在实质偏差。证据使用充分，法规依据详实，指出了数据问题并给出核验动作，但因核心结论未完全对齐扣correctness分。</x:v>
      </x:c>
    </x:row>
    <x:row r="32">
      <x:c r="A32" s="7" t="str">
        <x:v>PL002_V01_Q01</x:v>
      </x:c>
      <x:c r="B32" s="7" t="str">
        <x:v>C</x:v>
      </x:c>
      <x:c r="C32" s="7" t="n">
        <x:v>1</x:v>
      </x:c>
      <x:c r="D32" s="7" t="n">
        <x:v>2</x:v>
      </x:c>
      <x:c r="E32" s="7" t="n">
        <x:v>1</x:v>
      </x:c>
      <x:c r="F32" s="7" t="n">
        <x:v>1</x:v>
      </x:c>
      <x:c r="G32" s="7" t="n">
        <x:v>2</x:v>
      </x:c>
      <x:c r="H32" s="7" t="n">
        <x:v>7</x:v>
      </x:c>
      <x:c r="I32" s="7" t="n">
        <x:v>10</x:v>
      </x:c>
      <x:c r="J32" s="7" t="n">
        <x:v>70</x:v>
      </x:c>
      <x:c r="K32" s="7" t="str">
        <x:v>分析逻辑正确但结论保守为“待复核”，未明确肯定行业分类合理性。体现了完整审核工作流，证据引用准确，但因缺乏外部法规验证且仅给出方向性复核建议，actionability和regulatory_basis略低。</x:v>
      </x:c>
    </x:row>
    <x:row r="33">
      <x:c r="A33" s="7" t="str">
        <x:v>PL002_V01_Q01</x:v>
      </x:c>
      <x:c r="B33" s="7" t="str">
        <x:v>D</x:v>
      </x:c>
      <x:c r="C33" s="7" t="n">
        <x:v>1</x:v>
      </x:c>
      <x:c r="D33" s="7" t="n">
        <x:v>2</x:v>
      </x:c>
      <x:c r="E33" s="7" t="n">
        <x:v>2</x:v>
      </x:c>
      <x:c r="F33" s="7" t="n">
        <x:v>2</x:v>
      </x:c>
      <x:c r="G33" s="7" t="n">
        <x:v>2</x:v>
      </x:c>
      <x:c r="H33" s="7" t="n">
        <x:v>9</x:v>
      </x:c>
      <x:c r="I33" s="7" t="n">
        <x:v>10</x:v>
      </x:c>
      <x:c r="J33" s="7" t="n">
        <x:v>90</x:v>
      </x:c>
      <x:c r="K33" s="7" t="str">
        <x:v>结合RAG深入分析C2651边界，体现完整技能流和法规依据。但因过度谨慎将结论定为“待复核”，与参考答案“正确”有偏差。证据扎实，针对产品用途缺失给出了具体核验动作，整体质量高但结论对齐度不足。</x:v>
      </x:c>
    </x:row>
    <x:row r="34">
      <x:c r="A34" s="7" t="str">
        <x:v>PL003_Emission_噪声</x:v>
      </x:c>
      <x:c r="B34" s="7" t="str">
        <x:v>A</x:v>
      </x:c>
      <x:c r="C34" s="7" t="n">
        <x:v>2</x:v>
      </x:c>
      <x:c r="D34" s="7" t="n">
        <x:v>2</x:v>
      </x:c>
      <x:c r="E34" s="7" t="n">
        <x:v>2</x:v>
      </x:c>
      <x:c r="F34" s="7" t="str">
        <x:v>N/A</x:v>
      </x:c>
      <x:c r="G34" s="7" t="str">
        <x:v>N/A</x:v>
      </x:c>
      <x:c r="H34" s="7" t="n">
        <x:v>6</x:v>
      </x:c>
      <x:c r="I34" s="7" t="n">
        <x:v>6</x:v>
      </x:c>
      <x:c r="J34" s="7" t="n">
        <x:v>100</x:v>
      </x:c>
      <x:c r="K34" s="7" t="str">
        <x:v>结论正确，准确总结功能区、标准及限值并分析一致性。证据定位清晰，无问题时明确保持项与边界，符合rag/skill不可用约束。</x:v>
      </x:c>
    </x:row>
    <x:row r="35">
      <x:c r="A35" s="7" t="str">
        <x:v>PL003_Emission_噪声</x:v>
      </x:c>
      <x:c r="B35" s="7" t="str">
        <x:v>B</x:v>
      </x:c>
      <x:c r="C35" s="7" t="n">
        <x:v>2</x:v>
      </x:c>
      <x:c r="D35" s="7" t="n">
        <x:v>2</x:v>
      </x:c>
      <x:c r="E35" s="7" t="n">
        <x:v>2</x:v>
      </x:c>
      <x:c r="F35" s="7" t="n">
        <x:v>2</x:v>
      </x:c>
      <x:c r="G35" s="7" t="str">
        <x:v>N/A</x:v>
      </x:c>
      <x:c r="H35" s="7" t="n">
        <x:v>8</x:v>
      </x:c>
      <x:c r="I35" s="7" t="n">
        <x:v>8</x:v>
      </x:c>
      <x:c r="J35" s="7" t="n">
        <x:v>100</x:v>
      </x:c>
      <x:c r="K35" s="7" t="str">
        <x:v>结论正确且经RAG核验限值无误。证据充分，无问题下明确保持项与未核验边界，法规依据完整，skill不可用处理合规。</x:v>
      </x:c>
    </x:row>
    <x:row r="36">
      <x:c r="A36" s="7" t="str">
        <x:v>PL003_Emission_噪声</x:v>
      </x:c>
      <x:c r="B36" s="7" t="str">
        <x:v>C</x:v>
      </x:c>
      <x:c r="C36" s="7" t="n">
        <x:v>1</x:v>
      </x:c>
      <x:c r="D36" s="7" t="n">
        <x:v>2</x:v>
      </x:c>
      <x:c r="E36" s="7" t="n">
        <x:v>2</x:v>
      </x:c>
      <x:c r="F36" s="7" t="str">
        <x:v>N/A</x:v>
      </x:c>
      <x:c r="G36" s="7" t="n">
        <x:v>2</x:v>
      </x:c>
      <x:c r="H36" s="7" t="n">
        <x:v>7</x:v>
      </x:c>
      <x:c r="I36" s="7" t="n">
        <x:v>8</x:v>
      </x:c>
      <x:c r="J36" s="7" t="n">
        <x:v>87.5</x:v>
      </x:c>
      <x:c r="K36" s="7" t="str">
        <x:v>核心标准选取判断正确，但将预测缺失等超纲问题纳入导致结论降级为部分完成，属过度结论。证据与流程完整，指出了真实额外问题。</x:v>
      </x:c>
    </x:row>
    <x:row r="37">
      <x:c r="A37" s="7" t="str">
        <x:v>PL003_Emission_噪声</x:v>
      </x:c>
      <x:c r="B37" s="7" t="str">
        <x:v>D</x:v>
      </x:c>
      <x:c r="C37" s="7" t="n">
        <x:v>1</x:v>
      </x:c>
      <x:c r="D37" s="7" t="n">
        <x:v>2</x:v>
      </x:c>
      <x:c r="E37" s="7" t="n">
        <x:v>2</x:v>
      </x:c>
      <x:c r="F37" s="7" t="n">
        <x:v>2</x:v>
      </x:c>
      <x:c r="G37" s="7" t="n">
        <x:v>2</x:v>
      </x:c>
      <x:c r="H37" s="7" t="n">
        <x:v>9</x:v>
      </x:c>
      <x:c r="I37" s="7" t="n">
        <x:v>10</x:v>
      </x:c>
      <x:c r="J37" s="7" t="n">
        <x:v>90</x:v>
      </x:c>
      <x:c r="K37" s="7" t="str">
        <x:v>标准选取分析正确，但因缺外部区划文件判定部分完成，对已提供证据支持的内部一致性审核而言属过度保守。法规与流程完备。</x:v>
      </x:c>
    </x:row>
    <x:row r="38">
      <x:c r="A38" s="7" t="str">
        <x:v>PL003_Emission_固体</x:v>
      </x:c>
      <x:c r="B38" s="7" t="str">
        <x:v>A</x:v>
      </x:c>
      <x:c r="C38" s="7" t="n">
        <x:v>2</x:v>
      </x:c>
      <x:c r="D38" s="7" t="n">
        <x:v>2</x:v>
      </x:c>
      <x:c r="E38" s="7" t="n">
        <x:v>2</x:v>
      </x:c>
      <x:c r="F38" s="7" t="str">
        <x:v>N/A</x:v>
      </x:c>
      <x:c r="G38" s="7" t="str">
        <x:v>N/A</x:v>
      </x:c>
      <x:c r="H38" s="7" t="n">
        <x:v>6</x:v>
      </x:c>
      <x:c r="I38" s="7" t="n">
        <x:v>6</x:v>
      </x:c>
      <x:c r="J38" s="7" t="n">
        <x:v>100</x:v>
      </x:c>
      <x:c r="K38" s="7" t="str">
        <x:v>结论与参考答案一致，正确识别GB18599-2020缺失问题。证据引用准确，修改建议具体可执行。虽rag不可用，但基于报告文本的判断符合金标要求，未发现幻觉。</x:v>
      </x:c>
    </x:row>
    <x:row r="39">
      <x:c r="A39" s="7" t="str">
        <x:v>PL003_Emission_固体</x:v>
      </x:c>
      <x:c r="B39" s="7" t="str">
        <x:v>B</x:v>
      </x:c>
      <x:c r="C39" s="7" t="n">
        <x:v>2</x:v>
      </x:c>
      <x:c r="D39" s="7" t="n">
        <x:v>2</x:v>
      </x:c>
      <x:c r="E39" s="7" t="n">
        <x:v>2</x:v>
      </x:c>
      <x:c r="F39" s="7" t="n">
        <x:v>2</x:v>
      </x:c>
      <x:c r="G39" s="7" t="str">
        <x:v>N/A</x:v>
      </x:c>
      <x:c r="H39" s="7" t="n">
        <x:v>8</x:v>
      </x:c>
      <x:c r="I39" s="7" t="n">
        <x:v>8</x:v>
      </x:c>
      <x:c r="J39" s="7" t="n">
        <x:v>100</x:v>
      </x:c>
      <x:c r="K39" s="7" t="str">
        <x:v>结论正确，准确指出缺少GB18599-2020。利用RAG验证了标准适用性，证据链完整，修改建议明确。法规依据充分，完全符合评分规则中对额外真实问题的认可。</x:v>
      </x:c>
    </x:row>
    <x:row r="40">
      <x:c r="A40" s="7" t="str">
        <x:v>PL003_Emission_固体</x:v>
      </x:c>
      <x:c r="B40" s="7" t="str">
        <x:v>C</x:v>
      </x:c>
      <x:c r="C40" s="7" t="n">
        <x:v>2</x:v>
      </x:c>
      <x:c r="D40" s="7" t="n">
        <x:v>2</x:v>
      </x:c>
      <x:c r="E40" s="7" t="n">
        <x:v>2</x:v>
      </x:c>
      <x:c r="F40" s="7" t="str">
        <x:v>N/A</x:v>
      </x:c>
      <x:c r="G40" s="7" t="n">
        <x:v>2</x:v>
      </x:c>
      <x:c r="H40" s="7" t="n">
        <x:v>8</x:v>
      </x:c>
      <x:c r="I40" s="7" t="n">
        <x:v>8</x:v>
      </x:c>
      <x:c r="J40" s="7" t="n">
        <x:v>100</x:v>
      </x:c>
      <x:c r="K40" s="7" t="str">
        <x:v>结论正确，除识别GB18599缺失外，还发现泥垢代码不一致等报告内部真实问题。工作流体现完整核查步骤，建议具体。符合不扣分规则，审核深度优于仅对标答案者。</x:v>
      </x:c>
    </x:row>
    <x:row r="41">
      <x:c r="A41" s="7" t="str">
        <x:v>PL003_Emission_固体</x:v>
      </x:c>
      <x:c r="B41" s="7" t="str">
        <x:v>D</x:v>
      </x:c>
      <x:c r="C41" s="7" t="n">
        <x:v>2</x:v>
      </x:c>
      <x:c r="D41" s="7" t="n">
        <x:v>2</x:v>
      </x:c>
      <x:c r="E41" s="7" t="n">
        <x:v>2</x:v>
      </x:c>
      <x:c r="F41" s="7" t="n">
        <x:v>2</x:v>
      </x:c>
      <x:c r="G41" s="7" t="n">
        <x:v>2</x:v>
      </x:c>
      <x:c r="H41" s="7" t="n">
        <x:v>10</x:v>
      </x:c>
      <x:c r="I41" s="7" t="n">
        <x:v>10</x:v>
      </x:c>
      <x:c r="J41" s="7" t="n">
        <x:v>100</x:v>
      </x:c>
      <x:c r="K41" s="7" t="str">
        <x:v>结论正确，结合RAG与技能流全面审核。既指出GB18599缺失，又发现代码不一致及标准名称表述问题。证据详实，依据充分，体现了高水平盲评应有的完整性与准确性。</x:v>
      </x:c>
    </x:row>
    <x:row r="42">
      <x:c r="A42" s="7" t="str">
        <x:v>PL003_Emission_水污</x:v>
      </x:c>
      <x:c r="B42" s="7" t="str">
        <x:v>A</x:v>
      </x:c>
      <x:c r="C42" s="7" t="n">
        <x:v>1</x:v>
      </x:c>
      <x:c r="D42" s="7" t="n">
        <x:v>2</x:v>
      </x:c>
      <x:c r="E42" s="7" t="n">
        <x:v>2</x:v>
      </x:c>
      <x:c r="F42" s="7" t="str">
        <x:v>N/A</x:v>
      </x:c>
      <x:c r="G42" s="7" t="str">
        <x:v>N/A</x:v>
      </x:c>
      <x:c r="H42" s="7" t="n">
        <x:v>5</x:v>
      </x:c>
      <x:c r="I42" s="7" t="n">
        <x:v>6</x:v>
      </x:c>
      <x:c r="J42" s="7" t="n">
        <x:v>83.33</x:v>
      </x:c>
      <x:c r="K42" s="7" t="str">
        <x:v>RAG不可用故法规与流程评分为null。正确识别标准选取逻辑并指出名称不一致等真实问题，证据定位准确；因无法核验知识库一致性给出待复核结论合理，修改建议具体可执行。</x:v>
      </x:c>
    </x:row>
    <x:row r="43">
      <x:c r="A43" s="7" t="str">
        <x:v>PL003_Emission_水污</x:v>
      </x:c>
      <x:c r="B43" s="7" t="str">
        <x:v>B</x:v>
      </x:c>
      <x:c r="C43" s="7" t="n">
        <x:v>1</x:v>
      </x:c>
      <x:c r="D43" s="7" t="n">
        <x:v>2</x:v>
      </x:c>
      <x:c r="E43" s="7" t="n">
        <x:v>2</x:v>
      </x:c>
      <x:c r="F43" s="7" t="n">
        <x:v>2</x:v>
      </x:c>
      <x:c r="G43" s="7" t="str">
        <x:v>N/A</x:v>
      </x:c>
      <x:c r="H43" s="7" t="n">
        <x:v>7</x:v>
      </x:c>
      <x:c r="I43" s="7" t="n">
        <x:v>8</x:v>
      </x:c>
      <x:c r="J43" s="7" t="n">
        <x:v>87.5</x:v>
      </x:c>
      <x:c r="K43" s="7" t="str">
        <x:v>技能不可用故流程评分为null。利用RAG发现农村污水站属性与三级标准适用条件不匹配及水量矛盾等实质问题，证据充分，法规引用正确；虽未直接确认合理性但指出了关键合规风险，建议具体。</x:v>
      </x:c>
    </x:row>
    <x:row r="44">
      <x:c r="A44" s="7" t="str">
        <x:v>PL003_Emission_水污</x:v>
      </x:c>
      <x:c r="B44" s="7" t="str">
        <x:v>C</x:v>
      </x:c>
      <x:c r="C44" s="7" t="n">
        <x:v>1</x:v>
      </x:c>
      <x:c r="D44" s="7" t="n">
        <x:v>2</x:v>
      </x:c>
      <x:c r="E44" s="7" t="n">
        <x:v>2</x:v>
      </x:c>
      <x:c r="F44" s="7" t="str">
        <x:v>N/A</x:v>
      </x:c>
      <x:c r="G44" s="7" t="n">
        <x:v>2</x:v>
      </x:c>
      <x:c r="H44" s="7" t="n">
        <x:v>7</x:v>
      </x:c>
      <x:c r="I44" s="7" t="n">
        <x:v>8</x:v>
      </x:c>
      <x:c r="J44" s="7" t="n">
        <x:v>87.5</x:v>
      </x:c>
      <x:c r="K44" s="7" t="str">
        <x:v>RAG不可用故法规评分为null。完整体现审核工作流，精准识别水量矛盾、名称混用及限值冲突等报告内部实质问题，证据详实；判定存在问题符合指令要求，给出了明确的核查边界和修正方向。</x:v>
      </x:c>
    </x:row>
    <x:row r="45">
      <x:c r="A45" s="7" t="str">
        <x:v>PL003_Emission_水污</x:v>
      </x:c>
      <x:c r="B45" s="7" t="str">
        <x:v>D</x:v>
      </x:c>
      <x:c r="C45" s="7" t="n">
        <x:v>1</x:v>
      </x:c>
      <x:c r="D45" s="7" t="n">
        <x:v>2</x:v>
      </x:c>
      <x:c r="E45" s="7" t="n">
        <x:v>2</x:v>
      </x:c>
      <x:c r="F45" s="7" t="n">
        <x:v>2</x:v>
      </x:c>
      <x:c r="G45" s="7" t="n">
        <x:v>2</x:v>
      </x:c>
      <x:c r="H45" s="7" t="n">
        <x:v>9</x:v>
      </x:c>
      <x:c r="I45" s="7" t="n">
        <x:v>10</x:v>
      </x:c>
      <x:c r="J45" s="7" t="n">
        <x:v>90</x:v>
      </x:c>
      <x:c r="K45" s="7" t="str">
        <x:v>综合表现最佳。完整执行工作流并有效利用RAG，既核查了内部一致性（水量、名称），又验证了外部合规性（设施属性与标准匹配度）；证据链完整，法规依据准确，指出的问题真实且建议具备高度可操作性。</x:v>
      </x:c>
    </x:row>
    <x:row r="46">
      <x:c r="A46" s="7" t="str">
        <x:v>PL003_V01_Q01</x:v>
      </x:c>
      <x:c r="B46" s="7" t="str">
        <x:v>A</x:v>
      </x:c>
      <x:c r="C46" s="7" t="n">
        <x:v>2</x:v>
      </x:c>
      <x:c r="D46" s="7" t="n">
        <x:v>2</x:v>
      </x:c>
      <x:c r="E46" s="7" t="n">
        <x:v>2</x:v>
      </x:c>
      <x:c r="F46" s="7" t="str">
        <x:v>N/A</x:v>
      </x:c>
      <x:c r="G46" s="7" t="str">
        <x:v>N/A</x:v>
      </x:c>
      <x:c r="H46" s="7" t="n">
        <x:v>6</x:v>
      </x:c>
      <x:c r="I46" s="7" t="n">
        <x:v>6</x:v>
      </x:c>
      <x:c r="J46" s="7" t="n">
        <x:v>100</x:v>
      </x:c>
      <x:c r="K46" s="7" t="str">
        <x:v>结论正确，证据引用准确。因rag_available=false，法规依据与技能流程按规则置null。无问题时明确了审核边界与保持项，行动性满分。</x:v>
      </x:c>
    </x:row>
    <x:row r="47">
      <x:c r="A47" s="7" t="str">
        <x:v>PL003_V01_Q01</x:v>
      </x:c>
      <x:c r="B47" s="7" t="str">
        <x:v>B</x:v>
      </x:c>
      <x:c r="C47" s="7" t="n">
        <x:v>2</x:v>
      </x:c>
      <x:c r="D47" s="7" t="n">
        <x:v>2</x:v>
      </x:c>
      <x:c r="E47" s="7" t="n">
        <x:v>2</x:v>
      </x:c>
      <x:c r="F47" s="7" t="n">
        <x:v>2</x:v>
      </x:c>
      <x:c r="G47" s="7" t="str">
        <x:v>N/A</x:v>
      </x:c>
      <x:c r="H47" s="7" t="n">
        <x:v>8</x:v>
      </x:c>
      <x:c r="I47" s="7" t="n">
        <x:v>8</x:v>
      </x:c>
      <x:c r="J47" s="7" t="n">
        <x:v>100</x:v>
      </x:c>
      <x:c r="K47" s="7" t="str">
        <x:v>结论正确，证据充分且定位精准。引用了GB/T4754等有效外部标准支持结论。因skill_available=false，技能流程置null。无问题下边界清晰，行动性满分。</x:v>
      </x:c>
    </x:row>
    <x:row r="48">
      <x:c r="A48" s="7" t="str">
        <x:v>PL003_V01_Q01</x:v>
      </x:c>
      <x:c r="B48" s="7" t="str">
        <x:v>C</x:v>
      </x:c>
      <x:c r="C48" s="7" t="n">
        <x:v>2</x:v>
      </x:c>
      <x:c r="D48" s="7" t="n">
        <x:v>2</x:v>
      </x:c>
      <x:c r="E48" s="7" t="n">
        <x:v>2</x:v>
      </x:c>
      <x:c r="F48" s="7" t="str">
        <x:v>N/A</x:v>
      </x:c>
      <x:c r="G48" s="7" t="n">
        <x:v>2</x:v>
      </x:c>
      <x:c r="H48" s="7" t="n">
        <x:v>8</x:v>
      </x:c>
      <x:c r="I48" s="7" t="n">
        <x:v>8</x:v>
      </x:c>
      <x:c r="J48" s="7" t="n">
        <x:v>100</x:v>
      </x:c>
      <x:c r="K48" s="7" t="str">
        <x:v>结论正确，内部证据链完整。因rag_available=false，法规依据置null。技能可用且体现了分步核查与边界界定，流程规范。无问题时行动建议明确。</x:v>
      </x:c>
    </x:row>
    <x:row r="49">
      <x:c r="A49" s="7" t="str">
        <x:v>PL003_V01_Q01</x:v>
      </x:c>
      <x:c r="B49" s="7" t="str">
        <x:v>D</x:v>
      </x:c>
      <x:c r="C49" s="7" t="n">
        <x:v>2</x:v>
      </x:c>
      <x:c r="D49" s="7" t="n">
        <x:v>2</x:v>
      </x:c>
      <x:c r="E49" s="7" t="n">
        <x:v>2</x:v>
      </x:c>
      <x:c r="F49" s="7" t="n">
        <x:v>2</x:v>
      </x:c>
      <x:c r="G49" s="7" t="n">
        <x:v>2</x:v>
      </x:c>
      <x:c r="H49" s="7" t="n">
        <x:v>10</x:v>
      </x:c>
      <x:c r="I49" s="7" t="n">
        <x:v>10</x:v>
      </x:c>
      <x:c r="J49" s="7" t="n">
        <x:v>100</x:v>
      </x:c>
      <x:c r="K49" s="7" t="str">
        <x:v>结论正确，证据详实。结合了RAG检索到的国标定义与产污系数手册进行交叉验证，法规依据充分。技能流程完整体现分步核查与边界排除，各项指标均为最优。</x:v>
      </x:c>
    </x:row>
    <x:row r="50">
      <x:c r="A50" s="7" t="str">
        <x:v>PL003_V01_Q03</x:v>
      </x:c>
      <x:c r="B50" s="7" t="str">
        <x:v>A</x:v>
      </x:c>
      <x:c r="C50" s="7" t="n">
        <x:v>2</x:v>
      </x:c>
      <x:c r="D50" s="7" t="n">
        <x:v>1</x:v>
      </x:c>
      <x:c r="E50" s="7" t="n">
        <x:v>2</x:v>
      </x:c>
      <x:c r="F50" s="7" t="str">
        <x:v>N/A</x:v>
      </x:c>
      <x:c r="G50" s="7" t="str">
        <x:v>N/A</x:v>
      </x:c>
      <x:c r="H50" s="7" t="n">
        <x:v>5</x:v>
      </x:c>
      <x:c r="I50" s="7" t="n">
        <x:v>6</x:v>
      </x:c>
      <x:c r="J50" s="7" t="n">
        <x:v>83.33</x:v>
      </x:c>
      <x:c r="K50" s="7" t="str">
        <x:v>基础核算正确，且依据评分规则指出报告后文废气投资不一致及沉淀池漏列等真实问题，不应扣分。但所引证据位置（root[8]）超出提供片段范围，定位模糊，故证据使用扣1分。修改建议具体可执行。</x:v>
      </x:c>
    </x:row>
    <x:row r="51">
      <x:c r="A51" s="7" t="str">
        <x:v>PL003_V01_Q03</x:v>
      </x:c>
      <x:c r="B51" s="7" t="str">
        <x:v>B</x:v>
      </x:c>
      <x:c r="C51" s="7" t="n">
        <x:v>2</x:v>
      </x:c>
      <x:c r="D51" s="7" t="n">
        <x:v>1</x:v>
      </x:c>
      <x:c r="E51" s="7" t="n">
        <x:v>2</x:v>
      </x:c>
      <x:c r="F51" s="7" t="n">
        <x:v>2</x:v>
      </x:c>
      <x:c r="G51" s="7" t="str">
        <x:v>N/A</x:v>
      </x:c>
      <x:c r="H51" s="7" t="n">
        <x:v>7</x:v>
      </x:c>
      <x:c r="I51" s="7" t="n">
        <x:v>8</x:v>
      </x:c>
      <x:c r="J51" s="7" t="n">
        <x:v>87.5</x:v>
      </x:c>
      <x:c r="K51" s="7" t="str">
        <x:v>结论正确并识别出额外真实不一致问题。引用了有效的内部审核指南作为法规依据。但核心矛盾证据定位至未提供的root[8]，证据完整性不足。给出了明确的核实与补充说明建议，可操作性强。</x:v>
      </x:c>
    </x:row>
    <x:row r="52">
      <x:c r="A52" s="7" t="str">
        <x:v>PL003_V01_Q03</x:v>
      </x:c>
      <x:c r="B52" s="7" t="str">
        <x:v>C</x:v>
      </x:c>
      <x:c r="C52" s="7" t="n">
        <x:v>2</x:v>
      </x:c>
      <x:c r="D52" s="7" t="n">
        <x:v>1</x:v>
      </x:c>
      <x:c r="E52" s="7" t="n">
        <x:v>2</x:v>
      </x:c>
      <x:c r="F52" s="7" t="str">
        <x:v>N/A</x:v>
      </x:c>
      <x:c r="G52" s="7" t="n">
        <x:v>2</x:v>
      </x:c>
      <x:c r="H52" s="7" t="n">
        <x:v>7</x:v>
      </x:c>
      <x:c r="I52" s="7" t="n">
        <x:v>8</x:v>
      </x:c>
      <x:c r="J52" s="7" t="n">
        <x:v>87.5</x:v>
      </x:c>
      <x:c r="K52" s="7" t="str">
        <x:v>准确完成基础核算并发现额外真实问题，符合不扣分规则。体现了完整的分步核查流程。但关键不一致证据指向未提供的文本段落，证据链存在断点。虽无外部法规引用，但内部一致性复核逻辑严密，行动建议明确。</x:v>
      </x:c>
    </x:row>
    <x:row r="53">
      <x:c r="A53" s="7" t="str">
        <x:v>PL003_V01_Q03</x:v>
      </x:c>
      <x:c r="B53" s="7" t="str">
        <x:v>D</x:v>
      </x:c>
      <x:c r="C53" s="7" t="n">
        <x:v>2</x:v>
      </x:c>
      <x:c r="D53" s="7" t="n">
        <x:v>1</x:v>
      </x:c>
      <x:c r="E53" s="7" t="n">
        <x:v>2</x:v>
      </x:c>
      <x:c r="F53" s="7" t="n">
        <x:v>2</x:v>
      </x:c>
      <x:c r="G53" s="7" t="n">
        <x:v>2</x:v>
      </x:c>
      <x:c r="H53" s="7" t="n">
        <x:v>9</x:v>
      </x:c>
      <x:c r="I53" s="7" t="n">
        <x:v>10</x:v>
      </x:c>
      <x:c r="J53" s="7" t="n">
        <x:v>90</x:v>
      </x:c>
      <x:c r="K53" s="7" t="str">
        <x:v>全面覆盖基础核算与额外真实问题，结论准确。结合了RAG指南与完整工作流。同样因引用未提供片段的证据导致定位扣分。提出了三项具体整改点，包括固废暂存设施明细澄清， actionable程度最高。</x:v>
      </x:c>
    </x:row>
    <x:row r="54">
      <x:c r="A54" s="7" t="str">
        <x:v>PL004_Emission_噪声</x:v>
      </x:c>
      <x:c r="B54" s="7" t="str">
        <x:v>A</x:v>
      </x:c>
      <x:c r="C54" s="7" t="n">
        <x:v>2</x:v>
      </x:c>
      <x:c r="D54" s="7" t="n">
        <x:v>2</x:v>
      </x:c>
      <x:c r="E54" s="7" t="n">
        <x:v>2</x:v>
      </x:c>
      <x:c r="F54" s="7" t="str">
        <x:v>N/A</x:v>
      </x:c>
      <x:c r="G54" s="7" t="str">
        <x:v>N/A</x:v>
      </x:c>
      <x:c r="H54" s="7" t="n">
        <x:v>6</x:v>
      </x:c>
      <x:c r="I54" s="7" t="n">
        <x:v>6</x:v>
      </x:c>
      <x:c r="J54" s="7" t="n">
        <x:v>100</x:v>
      </x:c>
      <x:c r="K54" s="7" t="str">
        <x:v>结论与参考答案一致，且准确识别出报告中GB3096误用及工况矛盾等真实问题。证据定位精准，修改建议具体可执行。因rag/skill不可用，相关维度依规置null。</x:v>
      </x:c>
    </x:row>
    <x:row r="55">
      <x:c r="A55" s="7" t="str">
        <x:v>PL004_Emission_噪声</x:v>
      </x:c>
      <x:c r="B55" s="7" t="str">
        <x:v>B</x:v>
      </x:c>
      <x:c r="C55" s="7" t="n">
        <x:v>2</x:v>
      </x:c>
      <x:c r="D55" s="7" t="n">
        <x:v>2</x:v>
      </x:c>
      <x:c r="E55" s="7" t="n">
        <x:v>2</x:v>
      </x:c>
      <x:c r="F55" s="7" t="n">
        <x:v>2</x:v>
      </x:c>
      <x:c r="G55" s="7" t="str">
        <x:v>N/A</x:v>
      </x:c>
      <x:c r="H55" s="7" t="n">
        <x:v>8</x:v>
      </x:c>
      <x:c r="I55" s="7" t="n">
        <x:v>8</x:v>
      </x:c>
      <x:c r="J55" s="7" t="n">
        <x:v>100</x:v>
      </x:c>
      <x:c r="K55" s="7" t="str">
        <x:v>结论正确并发现额外真实问题。利用RAG验证了标准限值，证据充分。给出了具体的修正建议和补充夜间限值的操作指引。skill不可用故置null。</x:v>
      </x:c>
    </x:row>
    <x:row r="56">
      <x:c r="A56" s="7" t="str">
        <x:v>PL004_Emission_噪声</x:v>
      </x:c>
      <x:c r="B56" s="7" t="str">
        <x:v>C</x:v>
      </x:c>
      <x:c r="C56" s="7" t="n">
        <x:v>2</x:v>
      </x:c>
      <x:c r="D56" s="7" t="n">
        <x:v>2</x:v>
      </x:c>
      <x:c r="E56" s="7" t="n">
        <x:v>2</x:v>
      </x:c>
      <x:c r="F56" s="7" t="str">
        <x:v>N/A</x:v>
      </x:c>
      <x:c r="G56" s="7" t="n">
        <x:v>2</x:v>
      </x:c>
      <x:c r="H56" s="7" t="n">
        <x:v>8</x:v>
      </x:c>
      <x:c r="I56" s="7" t="n">
        <x:v>8</x:v>
      </x:c>
      <x:c r="J56" s="7" t="n">
        <x:v>100</x:v>
      </x:c>
      <x:c r="K56" s="7" t="str">
        <x:v>结论正确且挖掘出报告内部一致性问题。完整体现了审核工作流，分步核查清晰，问题描述具体指向明确。因rag不可用，法规依据维度置null。</x:v>
      </x:c>
    </x:row>
    <x:row r="57">
      <x:c r="A57" s="7" t="str">
        <x:v>PL004_Emission_噪声</x:v>
      </x:c>
      <x:c r="B57" s="7" t="str">
        <x:v>D</x:v>
      </x:c>
      <x:c r="C57" s="7" t="n">
        <x:v>2</x:v>
      </x:c>
      <x:c r="D57" s="7" t="n">
        <x:v>2</x:v>
      </x:c>
      <x:c r="E57" s="7" t="n">
        <x:v>2</x:v>
      </x:c>
      <x:c r="F57" s="7" t="n">
        <x:v>2</x:v>
      </x:c>
      <x:c r="G57" s="7" t="n">
        <x:v>2</x:v>
      </x:c>
      <x:c r="H57" s="7" t="n">
        <x:v>10</x:v>
      </x:c>
      <x:c r="I57" s="7" t="n">
        <x:v>10</x:v>
      </x:c>
      <x:c r="J57" s="7" t="n">
        <x:v>100</x:v>
      </x:c>
      <x:c r="K57" s="7" t="str">
        <x:v>回答最全面，结合RAG与技能流，既确认标准选取合理，又精准指出工况矛盾、标准误用及限值缺失等多处实质问题，修改建议极具操作性。</x:v>
      </x:c>
    </x:row>
    <x:row r="58">
      <x:c r="A58" s="7" t="str">
        <x:v>PL004_Emission_固体</x:v>
      </x:c>
      <x:c r="B58" s="7" t="str">
        <x:v>A</x:v>
      </x:c>
      <x:c r="C58" s="7" t="n">
        <x:v>2</x:v>
      </x:c>
      <x:c r="D58" s="7" t="n">
        <x:v>2</x:v>
      </x:c>
      <x:c r="E58" s="7" t="n">
        <x:v>2</x:v>
      </x:c>
      <x:c r="F58" s="7" t="str">
        <x:v>N/A</x:v>
      </x:c>
      <x:c r="G58" s="7" t="str">
        <x:v>N/A</x:v>
      </x:c>
      <x:c r="H58" s="7" t="n">
        <x:v>6</x:v>
      </x:c>
      <x:c r="I58" s="7" t="n">
        <x:v>6</x:v>
      </x:c>
      <x:c r="J58" s="7" t="n">
        <x:v>100</x:v>
      </x:c>
      <x:c r="K58" s="7" t="str">
        <x:v>结论与参考答案一致，准确识别标准选取合理但存在名称不规范及列示位置问题。证据定位精准，修改建议具体可执行。因rag_available=false，法规与技能维度按规则置null。</x:v>
      </x:c>
    </x:row>
    <x:row r="59">
      <x:c r="A59" s="7" t="str">
        <x:v>PL004_Emission_固体</x:v>
      </x:c>
      <x:c r="B59" s="7" t="str">
        <x:v>B</x:v>
      </x:c>
      <x:c r="C59" s="7" t="n">
        <x:v>1</x:v>
      </x:c>
      <x:c r="D59" s="7" t="n">
        <x:v>2</x:v>
      </x:c>
      <x:c r="E59" s="7" t="n">
        <x:v>2</x:v>
      </x:c>
      <x:c r="F59" s="7" t="n">
        <x:v>2</x:v>
      </x:c>
      <x:c r="G59" s="7" t="str">
        <x:v>N/A</x:v>
      </x:c>
      <x:c r="H59" s="7" t="n">
        <x:v>7</x:v>
      </x:c>
      <x:c r="I59" s="7" t="n">
        <x:v>8</x:v>
      </x:c>
      <x:c r="J59" s="7" t="n">
        <x:v>87.5</x:v>
      </x:c>
      <x:c r="K59" s="7" t="str">
        <x:v>方向正确但判定为“部分完成”略显保守。有效利用RAG指出标准适用性边界，证据扎实。虽提及RAG缺失限制，但已用现有依据充分支撑结论，法规依据得分2。</x:v>
      </x:c>
    </x:row>
    <x:row r="60">
      <x:c r="A60" s="7" t="str">
        <x:v>PL004_Emission_固体</x:v>
      </x:c>
      <x:c r="B60" s="7" t="str">
        <x:v>C</x:v>
      </x:c>
      <x:c r="C60" s="7" t="n">
        <x:v>2</x:v>
      </x:c>
      <x:c r="D60" s="7" t="n">
        <x:v>2</x:v>
      </x:c>
      <x:c r="E60" s="7" t="n">
        <x:v>2</x:v>
      </x:c>
      <x:c r="F60" s="7" t="str">
        <x:v>N/A</x:v>
      </x:c>
      <x:c r="G60" s="7" t="n">
        <x:v>2</x:v>
      </x:c>
      <x:c r="H60" s="7" t="n">
        <x:v>8</x:v>
      </x:c>
      <x:c r="I60" s="7" t="n">
        <x:v>8</x:v>
      </x:c>
      <x:c r="J60" s="7" t="n">
        <x:v>100</x:v>
      </x:c>
      <x:c r="K60" s="7" t="str">
        <x:v>结论准确，完整体现审核工作流，分步核查清晰。精准指出标准列示不完整及名称错误，整改意见明确。因rag_available=false，法规维度按规则置null，技能维度满分。</x:v>
      </x:c>
    </x:row>
    <x:row r="61">
      <x:c r="A61" s="7" t="str">
        <x:v>PL004_Emission_固体</x:v>
      </x:c>
      <x:c r="B61" s="7" t="str">
        <x:v>D</x:v>
      </x:c>
      <x:c r="C61" s="7" t="n">
        <x:v>2</x:v>
      </x:c>
      <x:c r="D61" s="7" t="n">
        <x:v>2</x:v>
      </x:c>
      <x:c r="E61" s="7" t="n">
        <x:v>2</x:v>
      </x:c>
      <x:c r="F61" s="7" t="n">
        <x:v>2</x:v>
      </x:c>
      <x:c r="G61" s="7" t="n">
        <x:v>2</x:v>
      </x:c>
      <x:c r="H61" s="7" t="n">
        <x:v>10</x:v>
      </x:c>
      <x:c r="I61" s="7" t="n">
        <x:v>10</x:v>
      </x:c>
      <x:c r="J61" s="7" t="n">
        <x:v>100</x:v>
      </x:c>
      <x:c r="K61" s="7" t="str">
        <x:v>结论正确且深度最佳。利用RAG发现GB18599适用范围争议及代码/周期不一致等额外真实问题，符合评分规则不扣分项。证据链完整，法规与技能维度均满分，行动建议极具价值。</x:v>
      </x:c>
    </x:row>
    <x:row r="62">
      <x:c r="A62" s="7" t="str">
        <x:v>PL004_Emission_水污</x:v>
      </x:c>
      <x:c r="B62" s="7" t="str">
        <x:v>A</x:v>
      </x:c>
      <x:c r="C62" s="7" t="n">
        <x:v>1</x:v>
      </x:c>
      <x:c r="D62" s="7" t="n">
        <x:v>2</x:v>
      </x:c>
      <x:c r="E62" s="7" t="n">
        <x:v>2</x:v>
      </x:c>
      <x:c r="F62" s="7" t="str">
        <x:v>N/A</x:v>
      </x:c>
      <x:c r="G62" s="7" t="str">
        <x:v>N/A</x:v>
      </x:c>
      <x:c r="H62" s="7" t="n">
        <x:v>5</x:v>
      </x:c>
      <x:c r="I62" s="7" t="n">
        <x:v>6</x:v>
      </x:c>
      <x:c r="J62" s="7" t="n">
        <x:v>83.33</x:v>
      </x:c>
      <x:c r="K62" s="7" t="str">
        <x:v>RAG不可用下正确识别内部标准路径合理，并发现氨氮限值及名称不统一等真实问题。因无法完成知识库对比，结论保守为待复核，符合场景约束，但未给出最终合理性判定。</x:v>
      </x:c>
    </x:row>
    <x:row r="63">
      <x:c r="A63" s="7" t="str">
        <x:v>PL004_Emission_水污</x:v>
      </x:c>
      <x:c r="B63" s="7" t="str">
        <x:v>B</x:v>
      </x:c>
      <x:c r="C63" s="7" t="n">
        <x:v>2</x:v>
      </x:c>
      <x:c r="D63" s="7" t="n">
        <x:v>2</x:v>
      </x:c>
      <x:c r="E63" s="7" t="n">
        <x:v>2</x:v>
      </x:c>
      <x:c r="F63" s="7" t="n">
        <x:v>2</x:v>
      </x:c>
      <x:c r="G63" s="7" t="str">
        <x:v>N/A</x:v>
      </x:c>
      <x:c r="H63" s="7" t="n">
        <x:v>8</x:v>
      </x:c>
      <x:c r="I63" s="7" t="n">
        <x:v>8</x:v>
      </x:c>
      <x:c r="J63" s="7" t="n">
        <x:v>100</x:v>
      </x:c>
      <x:c r="K63" s="7" t="str">
        <x:v>准确利用RAG发现报告尾水排放河道（顺德支流）与知识库（北马涌/顺德水道）不一致的关键问题，证据定位精准，修改建议具体可执行，法规依据充分，完全满足审核要求。</x:v>
      </x:c>
    </x:row>
    <x:row r="64">
      <x:c r="A64" s="7" t="str">
        <x:v>PL004_Emission_水污</x:v>
      </x:c>
      <x:c r="B64" s="7" t="str">
        <x:v>C</x:v>
      </x:c>
      <x:c r="C64" s="7" t="n">
        <x:v>1</x:v>
      </x:c>
      <x:c r="D64" s="7" t="n">
        <x:v>2</x:v>
      </x:c>
      <x:c r="E64" s="7" t="n">
        <x:v>2</x:v>
      </x:c>
      <x:c r="F64" s="7" t="str">
        <x:v>N/A</x:v>
      </x:c>
      <x:c r="G64" s="7" t="n">
        <x:v>2</x:v>
      </x:c>
      <x:c r="H64" s="7" t="n">
        <x:v>7</x:v>
      </x:c>
      <x:c r="I64" s="7" t="n">
        <x:v>8</x:v>
      </x:c>
      <x:c r="J64" s="7" t="n">
        <x:v>87.5</x:v>
      </x:c>
      <x:c r="K64" s="7" t="str">
        <x:v>RAG不可用时完整体现分步核查流程，发现单位错误及水量核算遗漏等额外真实问题。但因外部核验缺失仅给出部分完成结论，未对标准选取合理性做最终明确判断。</x:v>
      </x:c>
    </x:row>
    <x:row r="65">
      <x:c r="A65" s="7" t="str">
        <x:v>PL004_Emission_水污</x:v>
      </x:c>
      <x:c r="B65" s="7" t="str">
        <x:v>D</x:v>
      </x:c>
      <x:c r="C65" s="7" t="n">
        <x:v>2</x:v>
      </x:c>
      <x:c r="D65" s="7" t="n">
        <x:v>2</x:v>
      </x:c>
      <x:c r="E65" s="7" t="n">
        <x:v>2</x:v>
      </x:c>
      <x:c r="F65" s="7" t="n">
        <x:v>2</x:v>
      </x:c>
      <x:c r="G65" s="7" t="n">
        <x:v>2</x:v>
      </x:c>
      <x:c r="H65" s="7" t="n">
        <x:v>10</x:v>
      </x:c>
      <x:c r="I65" s="7" t="n">
        <x:v>10</x:v>
      </x:c>
      <x:c r="J65" s="7" t="n">
        <x:v>100</x:v>
      </x:c>
      <x:c r="K65" s="7" t="str">
        <x:v>完整执行审核工作流，精准利用RAG指出尾水河道不一致的核心问题，并额外发现回用标准指标引用错误及限值可疑等真实细节问题，证据链完整，建议具体可执行。</x:v>
      </x:c>
    </x:row>
    <x:row r="66">
      <x:c r="A66" s="7" t="str">
        <x:v>PL004_V01_Q01</x:v>
      </x:c>
      <x:c r="B66" s="7" t="str">
        <x:v>A</x:v>
      </x:c>
      <x:c r="C66" s="7" t="n">
        <x:v>2</x:v>
      </x:c>
      <x:c r="D66" s="7" t="n">
        <x:v>2</x:v>
      </x:c>
      <x:c r="E66" s="7" t="n">
        <x:v>2</x:v>
      </x:c>
      <x:c r="F66" s="7" t="str">
        <x:v>N/A</x:v>
      </x:c>
      <x:c r="G66" s="7" t="str">
        <x:v>N/A</x:v>
      </x:c>
      <x:c r="H66" s="7" t="n">
        <x:v>6</x:v>
      </x:c>
      <x:c r="I66" s="7" t="n">
        <x:v>6</x:v>
      </x:c>
      <x:c r="J66" s="7" t="n">
        <x:v>100</x:v>
      </x:c>
      <x:c r="K66" s="7" t="str">
        <x:v>结论正确，准确识别产品工艺与行业匹配性。虽无RAG但基于报告证据充分论证，指出名录与国标表述差异并给出核实建议，边界清晰。</x:v>
      </x:c>
    </x:row>
    <x:row r="67">
      <x:c r="A67" s="7" t="str">
        <x:v>PL004_V01_Q01</x:v>
      </x:c>
      <x:c r="B67" s="7" t="str">
        <x:v>B</x:v>
      </x:c>
      <x:c r="C67" s="7" t="n">
        <x:v>2</x:v>
      </x:c>
      <x:c r="D67" s="7" t="n">
        <x:v>2</x:v>
      </x:c>
      <x:c r="E67" s="7" t="n">
        <x:v>2</x:v>
      </x:c>
      <x:c r="F67" s="7" t="n">
        <x:v>2</x:v>
      </x:c>
      <x:c r="G67" s="7" t="str">
        <x:v>N/A</x:v>
      </x:c>
      <x:c r="H67" s="7" t="n">
        <x:v>8</x:v>
      </x:c>
      <x:c r="I67" s="7" t="n">
        <x:v>8</x:v>
      </x:c>
      <x:c r="J67" s="7" t="n">
        <x:v>100</x:v>
      </x:c>
      <x:c r="K67" s="7" t="str">
        <x:v>结论正确，结合RAG中C2929定义及产污系数验证了改性塑料造粒的行业归属，证据链完整，分析逻辑严密，符合参考答案要求。</x:v>
      </x:c>
    </x:row>
    <x:row r="68">
      <x:c r="A68" s="7" t="str">
        <x:v>PL004_V01_Q01</x:v>
      </x:c>
      <x:c r="B68" s="7" t="str">
        <x:v>C</x:v>
      </x:c>
      <x:c r="C68" s="7" t="n">
        <x:v>2</x:v>
      </x:c>
      <x:c r="D68" s="7" t="n">
        <x:v>2</x:v>
      </x:c>
      <x:c r="E68" s="7" t="n">
        <x:v>2</x:v>
      </x:c>
      <x:c r="F68" s="7" t="str">
        <x:v>N/A</x:v>
      </x:c>
      <x:c r="G68" s="7" t="n">
        <x:v>2</x:v>
      </x:c>
      <x:c r="H68" s="7" t="n">
        <x:v>8</x:v>
      </x:c>
      <x:c r="I68" s="7" t="n">
        <x:v>8</x:v>
      </x:c>
      <x:c r="J68" s="7" t="n">
        <x:v>100</x:v>
      </x:c>
      <x:c r="K68" s="7" t="str">
        <x:v>结论正确，完整体现审核工作流，分步核查产品、原料、工艺匹配性。明确指出环评名录与国民经济分类的区别并提示核对，规范性强。</x:v>
      </x:c>
    </x:row>
    <x:row r="69">
      <x:c r="A69" s="7" t="str">
        <x:v>PL004_V01_Q01</x:v>
      </x:c>
      <x:c r="B69" s="7" t="str">
        <x:v>D</x:v>
      </x:c>
      <x:c r="C69" s="7" t="n">
        <x:v>1</x:v>
      </x:c>
      <x:c r="D69" s="7" t="n">
        <x:v>2</x:v>
      </x:c>
      <x:c r="E69" s="7" t="n">
        <x:v>2</x:v>
      </x:c>
      <x:c r="F69" s="7" t="n">
        <x:v>2</x:v>
      </x:c>
      <x:c r="G69" s="7" t="n">
        <x:v>2</x:v>
      </x:c>
      <x:c r="H69" s="7" t="n">
        <x:v>9</x:v>
      </x:c>
      <x:c r="I69" s="7" t="n">
        <x:v>10</x:v>
      </x:c>
      <x:c r="J69" s="7" t="n">
        <x:v>90</x:v>
      </x:c>
      <x:c r="K69" s="7" t="str">
        <x:v>判定为“待人工复核”与参考答案“正确”不完全一致。虽指出了代码缺失的真实问题且依据充分，但对“基本合理”的判断过于保守，偏离金标结论。</x:v>
      </x:c>
    </x:row>
    <x:row r="70">
      <x:c r="A70" s="7" t="str">
        <x:v>PL005_Emission_噪声</x:v>
      </x:c>
      <x:c r="B70" s="7" t="str">
        <x:v>A</x:v>
      </x:c>
      <x:c r="C70" s="7" t="n">
        <x:v>2</x:v>
      </x:c>
      <x:c r="D70" s="7" t="n">
        <x:v>2</x:v>
      </x:c>
      <x:c r="E70" s="7" t="n">
        <x:v>2</x:v>
      </x:c>
      <x:c r="F70" s="7" t="str">
        <x:v>N/A</x:v>
      </x:c>
      <x:c r="G70" s="7" t="str">
        <x:v>N/A</x:v>
      </x:c>
      <x:c r="H70" s="7" t="n">
        <x:v>6</x:v>
      </x:c>
      <x:c r="I70" s="7" t="n">
        <x:v>6</x:v>
      </x:c>
      <x:c r="J70" s="7" t="n">
        <x:v>100</x:v>
      </x:c>
      <x:c r="K70" s="7" t="str">
        <x:v>结论与参考答案一致，准确识别3类区及限值。证据引用精准定位报告内容。无问题下明确保持项与边界，行动建议具体。因rag/skill不可用，法规与流程评分为null。</x:v>
      </x:c>
    </x:row>
    <x:row r="71">
      <x:c r="A71" s="7" t="str">
        <x:v>PL005_Emission_噪声</x:v>
      </x:c>
      <x:c r="B71" s="7" t="str">
        <x:v>B</x:v>
      </x:c>
      <x:c r="C71" s="7" t="n">
        <x:v>2</x:v>
      </x:c>
      <x:c r="D71" s="7" t="n">
        <x:v>2</x:v>
      </x:c>
      <x:c r="E71" s="7" t="n">
        <x:v>2</x:v>
      </x:c>
      <x:c r="F71" s="7" t="n">
        <x:v>2</x:v>
      </x:c>
      <x:c r="G71" s="7" t="str">
        <x:v>N/A</x:v>
      </x:c>
      <x:c r="H71" s="7" t="n">
        <x:v>8</x:v>
      </x:c>
      <x:c r="I71" s="7" t="n">
        <x:v>8</x:v>
      </x:c>
      <x:c r="J71" s="7" t="n">
        <x:v>100</x:v>
      </x:c>
      <x:c r="K71" s="7" t="str">
        <x:v>结论正确且与金标一致。利用RAG验证了标准限值，证据链完整。明确了核验边界与缺失项，可操作性强。法规依据充分。因skill不可用，流程评分为null。</x:v>
      </x:c>
    </x:row>
    <x:row r="72">
      <x:c r="A72" s="7" t="str">
        <x:v>PL005_Emission_噪声</x:v>
      </x:c>
      <x:c r="B72" s="7" t="str">
        <x:v>C</x:v>
      </x:c>
      <x:c r="C72" s="7" t="n">
        <x:v>2</x:v>
      </x:c>
      <x:c r="D72" s="7" t="n">
        <x:v>2</x:v>
      </x:c>
      <x:c r="E72" s="7" t="n">
        <x:v>2</x:v>
      </x:c>
      <x:c r="F72" s="7" t="str">
        <x:v>N/A</x:v>
      </x:c>
      <x:c r="G72" s="7" t="n">
        <x:v>2</x:v>
      </x:c>
      <x:c r="H72" s="7" t="n">
        <x:v>8</x:v>
      </x:c>
      <x:c r="I72" s="7" t="n">
        <x:v>8</x:v>
      </x:c>
      <x:c r="J72" s="7" t="n">
        <x:v>100</x:v>
      </x:c>
      <x:c r="K72" s="7" t="str">
        <x:v>内部一致性分析正确，符合金标要求。证据引用详实。虽判“部分完成”但系因外部核验受限，已给出明确内部审核边界与缺失清单，体现完整审核工作流。法规评分为null。</x:v>
      </x:c>
    </x:row>
    <x:row r="73">
      <x:c r="A73" s="7" t="str">
        <x:v>PL005_Emission_噪声</x:v>
      </x:c>
      <x:c r="B73" s="7" t="str">
        <x:v>D</x:v>
      </x:c>
      <x:c r="C73" s="7" t="n">
        <x:v>2</x:v>
      </x:c>
      <x:c r="D73" s="7" t="n">
        <x:v>2</x:v>
      </x:c>
      <x:c r="E73" s="7" t="n">
        <x:v>2</x:v>
      </x:c>
      <x:c r="F73" s="7" t="n">
        <x:v>2</x:v>
      </x:c>
      <x:c r="G73" s="7" t="n">
        <x:v>2</x:v>
      </x:c>
      <x:c r="H73" s="7" t="n">
        <x:v>10</x:v>
      </x:c>
      <x:c r="I73" s="7" t="n">
        <x:v>10</x:v>
      </x:c>
      <x:c r="J73" s="7" t="n">
        <x:v>100</x:v>
      </x:c>
      <x:c r="K73" s="7" t="str">
        <x:v>结合RAG与报告证据，结论正确且分析全面。准确指出区划文件缺失导致的外部核验局限，体现了严谨的审核工作流与法规适用性判断。各项指标均达满分标准。</x:v>
      </x:c>
    </x:row>
    <x:row r="74">
      <x:c r="A74" s="7" t="str">
        <x:v>PL005_Emission_固体</x:v>
      </x:c>
      <x:c r="B74" s="7" t="str">
        <x:v>A</x:v>
      </x:c>
      <x:c r="C74" s="7" t="n">
        <x:v>2</x:v>
      </x:c>
      <x:c r="D74" s="7" t="n">
        <x:v>2</x:v>
      </x:c>
      <x:c r="E74" s="7" t="n">
        <x:v>2</x:v>
      </x:c>
      <x:c r="F74" s="7" t="str">
        <x:v>N/A</x:v>
      </x:c>
      <x:c r="G74" s="7" t="str">
        <x:v>N/A</x:v>
      </x:c>
      <x:c r="H74" s="7" t="n">
        <x:v>6</x:v>
      </x:c>
      <x:c r="I74" s="7" t="n">
        <x:v>6</x:v>
      </x:c>
      <x:c r="J74" s="7" t="n">
        <x:v>100</x:v>
      </x:c>
      <x:c r="K74" s="7" t="str">
        <x:v>准确识别报告缺失GB18599-2020，符合评分规则中‘指出额外真实问题不扣分’原则。证据定位精准，修改建议具体明确，结论虽与参考答案字面不同但实质正确且更有价值。</x:v>
      </x:c>
    </x:row>
    <x:row r="75">
      <x:c r="A75" s="7" t="str">
        <x:v>PL005_Emission_固体</x:v>
      </x:c>
      <x:c r="B75" s="7" t="str">
        <x:v>B</x:v>
      </x:c>
      <x:c r="C75" s="7" t="n">
        <x:v>1</x:v>
      </x:c>
      <x:c r="D75" s="7" t="n">
        <x:v>2</x:v>
      </x:c>
      <x:c r="E75" s="7" t="n">
        <x:v>1</x:v>
      </x:c>
      <x:c r="F75" s="7" t="n">
        <x:v>1</x:v>
      </x:c>
      <x:c r="G75" s="7" t="str">
        <x:v>N/A</x:v>
      </x:c>
      <x:c r="H75" s="7" t="n">
        <x:v>5</x:v>
      </x:c>
      <x:c r="I75" s="7" t="n">
        <x:v>8</x:v>
      </x:c>
      <x:c r="J75" s="7" t="n">
        <x:v>62.5</x:v>
      </x:c>
      <x:c r="K75" s="7" t="str">
        <x:v>识别出一般固废标准缺失问题，但因RAG限制给出‘待人工复核’结论，未像R1那样直接指出具体缺失标准号，导致行动建议不够具体，正确性和可操作性略逊于R1。</x:v>
      </x:c>
    </x:row>
    <x:row r="76">
      <x:c r="A76" s="7" t="str">
        <x:v>PL005_Emission_固体</x:v>
      </x:c>
      <x:c r="B76" s="7" t="str">
        <x:v>C</x:v>
      </x:c>
      <x:c r="C76" s="7" t="n">
        <x:v>2</x:v>
      </x:c>
      <x:c r="D76" s="7" t="n">
        <x:v>2</x:v>
      </x:c>
      <x:c r="E76" s="7" t="n">
        <x:v>2</x:v>
      </x:c>
      <x:c r="F76" s="7" t="str">
        <x:v>N/A</x:v>
      </x:c>
      <x:c r="G76" s="7" t="n">
        <x:v>2</x:v>
      </x:c>
      <x:c r="H76" s="7" t="n">
        <x:v>8</x:v>
      </x:c>
      <x:c r="I76" s="7" t="n">
        <x:v>8</x:v>
      </x:c>
      <x:c r="J76" s="7" t="n">
        <x:v>100</x:v>
      </x:c>
      <x:c r="K76" s="7" t="str">
        <x:v>在无RAG情况下准确指出缺失GB18599-2020，体现了良好的审核技能。证据引用规范，问题分析透彻，额外指出了贮存能力表述不规范等真实问题，符合评分规则要求。</x:v>
      </x:c>
    </x:row>
    <x:row r="77">
      <x:c r="A77" s="7" t="str">
        <x:v>PL005_Emission_固体</x:v>
      </x:c>
      <x:c r="B77" s="7" t="str">
        <x:v>D</x:v>
      </x:c>
      <x:c r="C77" s="7" t="n">
        <x:v>2</x:v>
      </x:c>
      <x:c r="D77" s="7" t="n">
        <x:v>2</x:v>
      </x:c>
      <x:c r="E77" s="7" t="n">
        <x:v>2</x:v>
      </x:c>
      <x:c r="F77" s="7" t="n">
        <x:v>2</x:v>
      </x:c>
      <x:c r="G77" s="7" t="n">
        <x:v>2</x:v>
      </x:c>
      <x:c r="H77" s="7" t="n">
        <x:v>10</x:v>
      </x:c>
      <x:c r="I77" s="7" t="n">
        <x:v>10</x:v>
      </x:c>
      <x:c r="J77" s="7" t="n">
        <x:v>100</x:v>
      </x:c>
      <x:c r="K77" s="7" t="str">
        <x:v>结合RAG验证了危废标准，同时准确指出一般固废缺失贮存标准（隐含GB18599）。证据链完整，既利用了工具优势又弥补了知识库盲区，分析全面且建议具体可执行。</x:v>
      </x:c>
    </x:row>
    <x:row r="78">
      <x:c r="A78" s="7" t="str">
        <x:v>PL005_Emission_水污</x:v>
      </x:c>
      <x:c r="B78" s="7" t="str">
        <x:v>A</x:v>
      </x:c>
      <x:c r="C78" s="7" t="n">
        <x:v>1</x:v>
      </x:c>
      <x:c r="D78" s="7" t="n">
        <x:v>2</x:v>
      </x:c>
      <x:c r="E78" s="7" t="n">
        <x:v>1</x:v>
      </x:c>
      <x:c r="F78" s="7" t="str">
        <x:v>N/A</x:v>
      </x:c>
      <x:c r="G78" s="7" t="str">
        <x:v>N/A</x:v>
      </x:c>
      <x:c r="H78" s="7" t="n">
        <x:v>4</x:v>
      </x:c>
      <x:c r="I78" s="7" t="n">
        <x:v>6</x:v>
      </x:c>
      <x:c r="J78" s="7" t="n">
        <x:v>66.67</x:v>
      </x:c>
      <x:c r="K78" s="7" t="str">
        <x:v>RAG不可用下正确完成内部核查并声明无法外部比对，证据定位准确。但因未完成题目要求的知识库一致性对比，结论完整性受限，仅给部分一致分；建议具体但非最终修改动作。</x:v>
      </x:c>
    </x:row>
    <x:row r="79">
      <x:c r="A79" s="7" t="str">
        <x:v>PL005_Emission_水污</x:v>
      </x:c>
      <x:c r="B79" s="7" t="str">
        <x:v>B</x:v>
      </x:c>
      <x:c r="C79" s="7" t="n">
        <x:v>2</x:v>
      </x:c>
      <x:c r="D79" s="7" t="n">
        <x:v>2</x:v>
      </x:c>
      <x:c r="E79" s="7" t="n">
        <x:v>2</x:v>
      </x:c>
      <x:c r="F79" s="7" t="n">
        <x:v>2</x:v>
      </x:c>
      <x:c r="G79" s="7" t="str">
        <x:v>N/A</x:v>
      </x:c>
      <x:c r="H79" s="7" t="n">
        <x:v>8</x:v>
      </x:c>
      <x:c r="I79" s="7" t="n">
        <x:v>8</x:v>
      </x:c>
      <x:c r="J79" s="7" t="n">
        <x:v>100</x:v>
      </x:c>
      <x:c r="K79" s="7" t="str">
        <x:v>准确利用RAG发现尾水排放河道与知识库不一致的真实问题，证据链完整且定位清晰；给出具体核实与修正建议，法规依据引用正确支撑结论，符合评分规则对额外真实问题的认可。</x:v>
      </x:c>
    </x:row>
    <x:row r="80">
      <x:c r="A80" s="7" t="str">
        <x:v>PL005_Emission_水污</x:v>
      </x:c>
      <x:c r="B80" s="7" t="str">
        <x:v>C</x:v>
      </x:c>
      <x:c r="C80" s="7" t="n">
        <x:v>1</x:v>
      </x:c>
      <x:c r="D80" s="7" t="n">
        <x:v>2</x:v>
      </x:c>
      <x:c r="E80" s="7" t="n">
        <x:v>1</x:v>
      </x:c>
      <x:c r="F80" s="7" t="str">
        <x:v>N/A</x:v>
      </x:c>
      <x:c r="G80" s="7" t="n">
        <x:v>2</x:v>
      </x:c>
      <x:c r="H80" s="7" t="n">
        <x:v>6</x:v>
      </x:c>
      <x:c r="I80" s="7" t="n">
        <x:v>8</x:v>
      </x:c>
      <x:c r="J80" s="7" t="n">
        <x:v>75</x:v>
      </x:c>
      <x:c r="K80" s="7" t="str">
        <x:v>Skill可用下完整体现分步核查流程，内部证据使用充分。但受限于无RAG未能执行外部一致性对比，核心任务未完成，结论仅为部分完成；提出的氨氮限值问题属有效补充但非题目核心要求。</x:v>
      </x:c>
    </x:row>
    <x:row r="81">
      <x:c r="A81" s="7" t="str">
        <x:v>PL005_Emission_水污</x:v>
      </x:c>
      <x:c r="B81" s="7" t="str">
        <x:v>D</x:v>
      </x:c>
      <x:c r="C81" s="7" t="n">
        <x:v>2</x:v>
      </x:c>
      <x:c r="D81" s="7" t="n">
        <x:v>2</x:v>
      </x:c>
      <x:c r="E81" s="7" t="n">
        <x:v>2</x:v>
      </x:c>
      <x:c r="F81" s="7" t="n">
        <x:v>2</x:v>
      </x:c>
      <x:c r="G81" s="7" t="n">
        <x:v>2</x:v>
      </x:c>
      <x:c r="H81" s="7" t="n">
        <x:v>10</x:v>
      </x:c>
      <x:c r="I81" s="7" t="n">
        <x:v>10</x:v>
      </x:c>
      <x:c r="J81" s="7" t="n">
        <x:v>100</x:v>
      </x:c>
      <x:c r="K81" s="7" t="str">
        <x:v>完整执行审核工作流，精准识别报告与知识库在尾水河道上的实质差异，并补充发现表内数据核算不一致问题；证据引用规范、法规依据充分，修改建议具体可执行，全面满足题目及评分规则要求。</x:v>
      </x:c>
    </x:row>
    <x:row r="82">
      <x:c r="A82" s="7" t="str">
        <x:v>PL006_EnvQuality_Q01</x:v>
      </x:c>
      <x:c r="B82" s="7" t="str">
        <x:v>A</x:v>
      </x:c>
      <x:c r="C82" s="7" t="n">
        <x:v>1</x:v>
      </x:c>
      <x:c r="D82" s="7" t="n">
        <x:v>2</x:v>
      </x:c>
      <x:c r="E82" s="7" t="n">
        <x:v>2</x:v>
      </x:c>
      <x:c r="F82" s="7" t="str">
        <x:v>N/A</x:v>
      </x:c>
      <x:c r="G82" s="7" t="str">
        <x:v>N/A</x:v>
      </x:c>
      <x:c r="H82" s="7" t="n">
        <x:v>5</x:v>
      </x:c>
      <x:c r="I82" s="7" t="n">
        <x:v>6</x:v>
      </x:c>
      <x:c r="J82" s="7" t="n">
        <x:v>83.33</x:v>
      </x:c>
      <x:c r="K82" s="7" t="str">
        <x:v>无RAG下准确识别地表水证据链不足及公报名称笔误，结论方向正确但未能验证数据实质准确性；因rag_available=false，法规与技能维度不适用。</x:v>
      </x:c>
    </x:row>
    <x:row r="83">
      <x:c r="A83" s="7" t="str">
        <x:v>PL006_EnvQuality_Q01</x:v>
      </x:c>
      <x:c r="B83" s="7" t="str">
        <x:v>B</x:v>
      </x:c>
      <x:c r="C83" s="7" t="n">
        <x:v>1</x:v>
      </x:c>
      <x:c r="D83" s="7" t="n">
        <x:v>2</x:v>
      </x:c>
      <x:c r="E83" s="7" t="n">
        <x:v>1</x:v>
      </x:c>
      <x:c r="F83" s="7" t="n">
        <x:v>2</x:v>
      </x:c>
      <x:c r="G83" s="7" t="str">
        <x:v>N/A</x:v>
      </x:c>
      <x:c r="H83" s="7" t="n">
        <x:v>6</x:v>
      </x:c>
      <x:c r="I83" s="7" t="n">
        <x:v>8</x:v>
      </x:c>
      <x:c r="J83" s="7" t="n">
        <x:v>75</x:v>
      </x:c>
      <x:c r="K83" s="7" t="str">
        <x:v>利用RAG验证了数据实质准确性，但遗漏参考答案明确指出的公报名称及文号笔误问题，导致审核完整性不足；法规依据引用正确。</x:v>
      </x:c>
    </x:row>
    <x:row r="84">
      <x:c r="A84" s="7" t="str">
        <x:v>PL006_EnvQuality_Q01</x:v>
      </x:c>
      <x:c r="B84" s="7" t="str">
        <x:v>C</x:v>
      </x:c>
      <x:c r="C84" s="7" t="n">
        <x:v>1</x:v>
      </x:c>
      <x:c r="D84" s="7" t="n">
        <x:v>2</x:v>
      </x:c>
      <x:c r="E84" s="7" t="n">
        <x:v>2</x:v>
      </x:c>
      <x:c r="F84" s="7" t="str">
        <x:v>N/A</x:v>
      </x:c>
      <x:c r="G84" s="7" t="n">
        <x:v>2</x:v>
      </x:c>
      <x:c r="H84" s="7" t="n">
        <x:v>7</x:v>
      </x:c>
      <x:c r="I84" s="7" t="n">
        <x:v>8</x:v>
      </x:c>
      <x:c r="J84" s="7" t="n">
        <x:v>87.5</x:v>
      </x:c>
      <x:c r="K84" s="7" t="str">
        <x:v>无RAG下完整执行内部核查流程，准确发现地表水证据缺失及名称笔误，判定审慎合理；因rag_available=false，法规维度不适用。</x:v>
      </x:c>
    </x:row>
    <x:row r="85">
      <x:c r="A85" s="7" t="str">
        <x:v>PL006_EnvQuality_Q01</x:v>
      </x:c>
      <x:c r="B85" s="7" t="str">
        <x:v>D</x:v>
      </x:c>
      <x:c r="C85" s="7" t="n">
        <x:v>2</x:v>
      </x:c>
      <x:c r="D85" s="7" t="n">
        <x:v>2</x:v>
      </x:c>
      <x:c r="E85" s="7" t="n">
        <x:v>2</x:v>
      </x:c>
      <x:c r="F85" s="7" t="n">
        <x:v>2</x:v>
      </x:c>
      <x:c r="G85" s="7" t="n">
        <x:v>2</x:v>
      </x:c>
      <x:c r="H85" s="7" t="n">
        <x:v>10</x:v>
      </x:c>
      <x:c r="I85" s="7" t="n">
        <x:v>10</x:v>
      </x:c>
      <x:c r="J85" s="7" t="n">
        <x:v>100</x:v>
      </x:c>
      <x:c r="K85" s="7" t="str">
        <x:v>结合RAG既验证了数据实质准确性，又精准指出公报名称、文号笔误及表格解析风险，结论与金标完全一致且证据链完整，行动建议具体可执行。</x:v>
      </x:c>
    </x:row>
  </x:sheetData>
  <x:pageMargins left="0.7" right="0.7" top="0.75" bottom="0.75" header="0.3" footer="0.3"/>
  <x:tableParts count="1">
    <x:tablePart xmlns:r="http://schemas.openxmlformats.org/officeDocument/2006/relationships" r:id="R625df538f5734bb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6" hidden="0" customWidth="1"/>
    <x:col min="2" max="2" width="14"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46" hidden="0" customWidth="1"/>
    <x:col min="12" max="12" width="16" hidden="0" customWidth="1"/>
  </x:cols>
  <x:sheetData>
    <x:row r="1">
      <x:c r="A1" s="5" t="str">
        <x:v>Metric</x:v>
      </x:c>
      <x:c r="B1" s="5" t="str">
        <x:v>Type</x:v>
      </x:c>
      <x:c r="C1" s="5" t="str">
        <x:v>GPT-4o</x:v>
      </x:c>
      <x:c r="D1" s="5" t="str">
        <x:v>Qwen3-8B</x:v>
      </x:c>
      <x:c r="E1" s="5" t="str">
        <x:v>RAG</x:v>
      </x:c>
      <x:c r="F1" s="5" t="str">
        <x:v>FT</x:v>
      </x:c>
      <x:c r="G1" s="5" t="str">
        <x:v>RAG+FT</x:v>
      </x:c>
      <x:c r="H1" s="5" t="str">
        <x:v>本研究_A</x:v>
      </x:c>
      <x:c r="I1" s="5" t="str">
        <x:v>本研究_B</x:v>
      </x:c>
      <x:c r="J1" s="5" t="str">
        <x:v>本研究_C</x:v>
      </x:c>
      <x:c r="K1" s="5" t="str">
        <x:v>本研究_D</x:v>
      </x:c>
      <x:c r="L1" s="5" t="str">
        <x:v>本研究计算状态</x:v>
      </x:c>
    </x:row>
    <x:row r="2">
      <x:c r="A2" s="7" t="str">
        <x:v>ROUGE-1</x:v>
      </x:c>
      <x:c r="B2" s="7" t="str">
        <x:v>N-grams</x:v>
      </x:c>
      <x:c r="C2" s="7" t="n">
        <x:v>0.1818</x:v>
      </x:c>
      <x:c r="D2" s="7" t="n">
        <x:v>0.192</x:v>
      </x:c>
      <x:c r="E2" s="7" t="n">
        <x:v>0.2198</x:v>
      </x:c>
      <x:c r="F2" s="7" t="n">
        <x:v>0.2857</x:v>
      </x:c>
      <x:c r="G2" s="7" t="n">
        <x:v>0.3353</x:v>
      </x:c>
      <x:c r="H2" s="7" t="n">
        <x:v>0.392706</x:v>
      </x:c>
      <x:c r="I2" s="7" t="n">
        <x:v>0.389266</x:v>
      </x:c>
      <x:c r="J2" s="7" t="n">
        <x:v>0.370972</x:v>
      </x:c>
      <x:c r="K2" s="7" t="n">
        <x:v>0.372792</x:v>
      </x:c>
      <x:c r="L2" s="7" t="str">
        <x:v>complete</x:v>
      </x:c>
    </x:row>
    <x:row r="3">
      <x:c r="A3" s="7" t="str">
        <x:v>ROUGE-2</x:v>
      </x:c>
      <x:c r="B3" s="7" t="str">
        <x:v>N-grams</x:v>
      </x:c>
      <x:c r="C3" s="7" t="n">
        <x:v>0.0823</x:v>
      </x:c>
      <x:c r="D3" s="7" t="n">
        <x:v>0.1172</x:v>
      </x:c>
      <x:c r="E3" s="7" t="n">
        <x:v>0.1229</x:v>
      </x:c>
      <x:c r="F3" s="7" t="n">
        <x:v>0.1738</x:v>
      </x:c>
      <x:c r="G3" s="7" t="n">
        <x:v>0.2175</x:v>
      </x:c>
      <x:c r="H3" s="7" t="n">
        <x:v>0.255149</x:v>
      </x:c>
      <x:c r="I3" s="7" t="n">
        <x:v>0.239439</x:v>
      </x:c>
      <x:c r="J3" s="7" t="n">
        <x:v>0.237354</x:v>
      </x:c>
      <x:c r="K3" s="7" t="n">
        <x:v>0.243208</x:v>
      </x:c>
      <x:c r="L3" s="7" t="str">
        <x:v>complete</x:v>
      </x:c>
    </x:row>
    <x:row r="4">
      <x:c r="A4" s="7" t="str">
        <x:v>ROUGE-L</x:v>
      </x:c>
      <x:c r="B4" s="7" t="str">
        <x:v>N-grams</x:v>
      </x:c>
      <x:c r="C4" s="7" t="n">
        <x:v>0.1698</x:v>
      </x:c>
      <x:c r="D4" s="7" t="n">
        <x:v>0.1844</x:v>
      </x:c>
      <x:c r="E4" s="7" t="n">
        <x:v>0.2105</x:v>
      </x:c>
      <x:c r="F4" s="7" t="n">
        <x:v>0.2871</x:v>
      </x:c>
      <x:c r="G4" s="7" t="n">
        <x:v>0.2997</x:v>
      </x:c>
      <x:c r="H4" s="7" t="n">
        <x:v>0.251886</x:v>
      </x:c>
      <x:c r="I4" s="7" t="n">
        <x:v>0.237453</x:v>
      </x:c>
      <x:c r="J4" s="7" t="n">
        <x:v>0.247104</x:v>
      </x:c>
      <x:c r="K4" s="7" t="n">
        <x:v>0.243557</x:v>
      </x:c>
      <x:c r="L4" s="7" t="str">
        <x:v>complete</x:v>
      </x:c>
    </x:row>
    <x:row r="5">
      <x:c r="A5" s="7" t="str">
        <x:v>BLEU</x:v>
      </x:c>
      <x:c r="B5" s="7" t="str">
        <x:v>N-grams</x:v>
      </x:c>
      <x:c r="C5" s="7" t="n">
        <x:v>0.0017</x:v>
      </x:c>
      <x:c r="D5" s="7" t="n">
        <x:v>0.0027</x:v>
      </x:c>
      <x:c r="E5" s="7" t="n">
        <x:v>0.0026</x:v>
      </x:c>
      <x:c r="F5" s="7" t="n">
        <x:v>0.0031</x:v>
      </x:c>
      <x:c r="G5" s="7" t="n">
        <x:v>0.0034</x:v>
      </x:c>
      <x:c r="H5" s="7" t="n">
        <x:v>0.157517</x:v>
      </x:c>
      <x:c r="I5" s="7" t="n">
        <x:v>0.145128</x:v>
      </x:c>
      <x:c r="J5" s="7" t="n">
        <x:v>0.141237</x:v>
      </x:c>
      <x:c r="K5" s="7" t="n">
        <x:v>0.147926</x:v>
      </x:c>
      <x:c r="L5" s="7" t="str">
        <x:v>complete</x:v>
      </x:c>
    </x:row>
    <x:row r="6">
      <x:c r="A6" s="7" t="str">
        <x:v>Precision</x:v>
      </x:c>
      <x:c r="B6" s="7" t="str">
        <x:v>Token</x:v>
      </x:c>
      <x:c r="C6" s="7" t="n">
        <x:v>0.0259</x:v>
      </x:c>
      <x:c r="D6" s="7" t="n">
        <x:v>0.0446</x:v>
      </x:c>
      <x:c r="E6" s="7" t="n">
        <x:v>0.0387</x:v>
      </x:c>
      <x:c r="F6" s="7" t="n">
        <x:v>0.0542</x:v>
      </x:c>
      <x:c r="G6" s="7" t="n">
        <x:v>0.069</x:v>
      </x:c>
      <x:c r="H6" s="7" t="n">
        <x:v>0.296093</x:v>
      </x:c>
      <x:c r="I6" s="7" t="n">
        <x:v>0.291942</x:v>
      </x:c>
      <x:c r="J6" s="7" t="n">
        <x:v>0.270971</x:v>
      </x:c>
      <x:c r="K6" s="7" t="n">
        <x:v>0.262347</x:v>
      </x:c>
      <x:c r="L6" s="7" t="str">
        <x:v>complete</x:v>
      </x:c>
    </x:row>
    <x:row r="7">
      <x:c r="A7" s="7" t="str">
        <x:v>Recall</x:v>
      </x:c>
      <x:c r="B7" s="7" t="str">
        <x:v>Token</x:v>
      </x:c>
      <x:c r="C7" s="7" t="n">
        <x:v>0.1313</x:v>
      </x:c>
      <x:c r="D7" s="7" t="n">
        <x:v>0.1436</x:v>
      </x:c>
      <x:c r="E7" s="7" t="n">
        <x:v>0.1563</x:v>
      </x:c>
      <x:c r="F7" s="7" t="n">
        <x:v>0.2218</x:v>
      </x:c>
      <x:c r="G7" s="7" t="n">
        <x:v>0.2436</x:v>
      </x:c>
      <x:c r="H7" s="7" t="n">
        <x:v>0.6745</x:v>
      </x:c>
      <x:c r="I7" s="7" t="n">
        <x:v>0.688089</x:v>
      </x:c>
      <x:c r="J7" s="7" t="n">
        <x:v>0.685464</x:v>
      </x:c>
      <x:c r="K7" s="7" t="n">
        <x:v>0.766532</x:v>
      </x:c>
      <x:c r="L7" s="7" t="str">
        <x:v>complete</x:v>
      </x:c>
    </x:row>
    <x:row r="8">
      <x:c r="A8" s="7" t="str">
        <x:v>F1</x:v>
      </x:c>
      <x:c r="B8" s="7" t="str">
        <x:v>Token</x:v>
      </x:c>
      <x:c r="C8" s="7" t="n">
        <x:v>0.0383</x:v>
      </x:c>
      <x:c r="D8" s="7" t="n">
        <x:v>0.0655</x:v>
      </x:c>
      <x:c r="E8" s="7" t="n">
        <x:v>0.0622</x:v>
      </x:c>
      <x:c r="F8" s="7" t="n">
        <x:v>0.0725</x:v>
      </x:c>
      <x:c r="G8" s="7" t="n">
        <x:v>0.1139</x:v>
      </x:c>
      <x:c r="H8" s="7" t="n">
        <x:v>0.392706</x:v>
      </x:c>
      <x:c r="I8" s="7" t="n">
        <x:v>0.389266</x:v>
      </x:c>
      <x:c r="J8" s="7" t="n">
        <x:v>0.370972</x:v>
      </x:c>
      <x:c r="K8" s="7" t="n">
        <x:v>0.372792</x:v>
      </x:c>
      <x:c r="L8" s="7" t="str">
        <x:v>complete</x:v>
      </x:c>
    </x:row>
    <x:row r="9">
      <x:c r="A9" s="7" t="str">
        <x:v>Cosine</x:v>
      </x:c>
      <x:c r="B9" s="7" t="str">
        <x:v>Semantic</x:v>
      </x:c>
      <x:c r="C9" s="7" t="n">
        <x:v>0.8648</x:v>
      </x:c>
      <x:c r="D9" s="7" t="n">
        <x:v>0.8628</x:v>
      </x:c>
      <x:c r="E9" s="7" t="n">
        <x:v>0.9117</x:v>
      </x:c>
      <x:c r="F9" s="7" t="n">
        <x:v>0.8913</x:v>
      </x:c>
      <x:c r="G9" s="7" t="n">
        <x:v>0.9196</x:v>
      </x:c>
      <x:c r="H9" s="7" t="n">
        <x:v>0.834629</x:v>
      </x:c>
      <x:c r="I9" s="7" t="n">
        <x:v>0.84593</x:v>
      </x:c>
      <x:c r="J9" s="7" t="n">
        <x:v>0.840257</x:v>
      </x:c>
      <x:c r="K9" s="7" t="n">
        <x:v>0.849268</x:v>
      </x:c>
      <x:c r="L9" s="7" t="str">
        <x:v>complete</x:v>
      </x:c>
    </x:row>
    <x:row r="10">
      <x:c r="A10" s="7" t="str">
        <x:v>BERT-P</x:v>
      </x:c>
      <x:c r="B10" s="7" t="str">
        <x:v>Semantic</x:v>
      </x:c>
      <x:c r="C10" s="7" t="n">
        <x:v>0.6351</x:v>
      </x:c>
      <x:c r="D10" s="7" t="n">
        <x:v>0.6804</x:v>
      </x:c>
      <x:c r="E10" s="7" t="n">
        <x:v>0.7438</x:v>
      </x:c>
      <x:c r="F10" s="7" t="n">
        <x:v>0.7128</x:v>
      </x:c>
      <x:c r="G10" s="7" t="n">
        <x:v>0.7915</x:v>
      </x:c>
      <x:c r="H10" s="7" t="n">
        <x:v>0.673613</x:v>
      </x:c>
      <x:c r="I10" s="7" t="n">
        <x:v>0.674425</x:v>
      </x:c>
      <x:c r="J10" s="7" t="n">
        <x:v>0.660403</x:v>
      </x:c>
      <x:c r="K10" s="7" t="n">
        <x:v>0.672486</x:v>
      </x:c>
      <x:c r="L10" s="7" t="str">
        <x:v>complete: bert-base-chinese, bert-score 0.3.13</x:v>
      </x:c>
    </x:row>
    <x:row r="11">
      <x:c r="A11" s="7" t="str">
        <x:v>BERT-R</x:v>
      </x:c>
      <x:c r="B11" s="7" t="str">
        <x:v>Semantic</x:v>
      </x:c>
      <x:c r="C11" s="7" t="n">
        <x:v>0.7294</x:v>
      </x:c>
      <x:c r="D11" s="7" t="n">
        <x:v>0.7366</x:v>
      </x:c>
      <x:c r="E11" s="7" t="n">
        <x:v>0.7628</x:v>
      </x:c>
      <x:c r="F11" s="7" t="n">
        <x:v>0.7486</x:v>
      </x:c>
      <x:c r="G11" s="7" t="n">
        <x:v>0.793</x:v>
      </x:c>
      <x:c r="H11" s="7" t="n">
        <x:v>0.762882</x:v>
      </x:c>
      <x:c r="I11" s="7" t="n">
        <x:v>0.759401</x:v>
      </x:c>
      <x:c r="J11" s="7" t="n">
        <x:v>0.759295</x:v>
      </x:c>
      <x:c r="K11" s="7" t="n">
        <x:v>0.779419</x:v>
      </x:c>
      <x:c r="L11" s="7" t="str">
        <x:v>complete: bert-base-chinese, bert-score 0.3.13</x:v>
      </x:c>
    </x:row>
    <x:row r="12">
      <x:c r="A12" s="7" t="str">
        <x:v>BERT-F1</x:v>
      </x:c>
      <x:c r="B12" s="7" t="str">
        <x:v>Semantic</x:v>
      </x:c>
      <x:c r="C12" s="7" t="n">
        <x:v>0.678</x:v>
      </x:c>
      <x:c r="D12" s="7" t="n">
        <x:v>0.706</x:v>
      </x:c>
      <x:c r="E12" s="7" t="n">
        <x:v>0.7526</x:v>
      </x:c>
      <x:c r="F12" s="7" t="n">
        <x:v>0.7292</x:v>
      </x:c>
      <x:c r="G12" s="7" t="n">
        <x:v>0.7911</x:v>
      </x:c>
      <x:c r="H12" s="7" t="n">
        <x:v>0.714873</x:v>
      </x:c>
      <x:c r="I12" s="7" t="n">
        <x:v>0.713999</x:v>
      </x:c>
      <x:c r="J12" s="7" t="n">
        <x:v>0.705759</x:v>
      </x:c>
      <x:c r="K12" s="7" t="n">
        <x:v>0.721638</x:v>
      </x:c>
      <x:c r="L12" s="7" t="str">
        <x:v>complete: bert-base-chinese, bert-score 0.3.13</x:v>
      </x:c>
    </x:row>
  </x:sheetData>
  <x:pageMargins left="0.7" right="0.7" top="0.75" bottom="0.75" header="0.3" footer="0.3"/>
  <x:tableParts count="1">
    <x:tablePart xmlns:r="http://schemas.openxmlformats.org/officeDocument/2006/relationships" r:id="R5bc247d4e260465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s>
  <x:sheetData>
    <x:row r="1">
      <x:c r="A1" s="5" t="str">
        <x:v>question_id</x:v>
      </x:c>
      <x:c r="B1" s="5" t="str">
        <x:v>A</x:v>
      </x:c>
      <x:c r="C1" s="5" t="str">
        <x:v>B</x:v>
      </x:c>
      <x:c r="D1" s="5" t="str">
        <x:v>C</x:v>
      </x:c>
      <x:c r="E1" s="5" t="str">
        <x:v>D</x:v>
      </x:c>
      <x:c r="F1" s="5" t="str">
        <x:v>rag_main_effect</x:v>
      </x:c>
      <x:c r="G1" s="5" t="str">
        <x:v>skill_main_effect</x:v>
      </x:c>
      <x:c r="H1" s="5" t="str">
        <x:v>beta3_interaction</x:v>
      </x:c>
      <x:c r="I1" s="5" t="str">
        <x:v>case_type</x:v>
      </x:c>
    </x:row>
    <x:row r="2">
      <x:c r="A2" s="7" t="str">
        <x:v>PL001_V01_Q01</x:v>
      </x:c>
      <x:c r="B2" s="7" t="n">
        <x:v>100</x:v>
      </x:c>
      <x:c r="C2" s="7" t="n">
        <x:v>100</x:v>
      </x:c>
      <x:c r="D2" s="7" t="n">
        <x:v>100</x:v>
      </x:c>
      <x:c r="E2" s="7" t="n">
        <x:v>100</x:v>
      </x:c>
      <x:c r="F2" s="7" t="n">
        <x:v>0</x:v>
      </x:c>
      <x:c r="G2" s="7" t="n">
        <x:v>0</x:v>
      </x:c>
      <x:c r="H2" s="7" t="n">
        <x:v>0</x:v>
      </x:c>
      <x:c r="I2" s="7" t="str">
        <x:v>neutral</x:v>
      </x:c>
    </x:row>
    <x:row r="3">
      <x:c r="A3" s="7" t="str">
        <x:v>PL001_EnvQuality_Q01</x:v>
      </x:c>
      <x:c r="B3" s="7" t="n">
        <x:v>83.33</x:v>
      </x:c>
      <x:c r="C3" s="7" t="n">
        <x:v>100</x:v>
      </x:c>
      <x:c r="D3" s="7" t="n">
        <x:v>83.33</x:v>
      </x:c>
      <x:c r="E3" s="7" t="n">
        <x:v>100</x:v>
      </x:c>
      <x:c r="F3" s="7" t="n">
        <x:v>16.67</x:v>
      </x:c>
      <x:c r="G3" s="7" t="n">
        <x:v>0</x:v>
      </x:c>
      <x:c r="H3" s="7" t="n">
        <x:v>0</x:v>
      </x:c>
      <x:c r="I3" s="7" t="str">
        <x:v>neutral</x:v>
      </x:c>
    </x:row>
    <x:row r="4">
      <x:c r="A4" s="7" t="str">
        <x:v>PL001_Emission_固体</x:v>
      </x:c>
      <x:c r="B4" s="7" t="n">
        <x:v>100</x:v>
      </x:c>
      <x:c r="C4" s="7" t="n">
        <x:v>83.33</x:v>
      </x:c>
      <x:c r="D4" s="7" t="n">
        <x:v>83.33</x:v>
      </x:c>
      <x:c r="E4" s="7" t="n">
        <x:v>83.33</x:v>
      </x:c>
      <x:c r="F4" s="7" t="n">
        <x:v>-8.335</x:v>
      </x:c>
      <x:c r="G4" s="7" t="n">
        <x:v>-8.335</x:v>
      </x:c>
      <x:c r="H4" s="7" t="n">
        <x:v>16.67</x:v>
      </x:c>
      <x:c r="I4" s="7" t="str">
        <x:v>synergy</x:v>
      </x:c>
    </x:row>
    <x:row r="5">
      <x:c r="A5" s="7" t="str">
        <x:v>PL002_V01_Q01</x:v>
      </x:c>
      <x:c r="B5" s="7" t="n">
        <x:v>100</x:v>
      </x:c>
      <x:c r="C5" s="7" t="n">
        <x:v>83.33</x:v>
      </x:c>
      <x:c r="D5" s="7" t="n">
        <x:v>66.67</x:v>
      </x:c>
      <x:c r="E5" s="7" t="n">
        <x:v>83.33</x:v>
      </x:c>
      <x:c r="F5" s="7" t="n">
        <x:v>-0.005</x:v>
      </x:c>
      <x:c r="G5" s="7" t="n">
        <x:v>-16.665</x:v>
      </x:c>
      <x:c r="H5" s="7" t="n">
        <x:v>33.33</x:v>
      </x:c>
      <x:c r="I5" s="7" t="str">
        <x:v>synergy</x:v>
      </x:c>
    </x:row>
    <x:row r="6">
      <x:c r="A6" s="7" t="str">
        <x:v>PL002_EnvQuality_Q01</x:v>
      </x:c>
      <x:c r="B6" s="7" t="n">
        <x:v>83.33</x:v>
      </x:c>
      <x:c r="C6" s="7" t="n">
        <x:v>100</x:v>
      </x:c>
      <x:c r="D6" s="7" t="n">
        <x:v>83.33</x:v>
      </x:c>
      <x:c r="E6" s="7" t="n">
        <x:v>100</x:v>
      </x:c>
      <x:c r="F6" s="7" t="n">
        <x:v>16.67</x:v>
      </x:c>
      <x:c r="G6" s="7" t="n">
        <x:v>0</x:v>
      </x:c>
      <x:c r="H6" s="7" t="n">
        <x:v>0</x:v>
      </x:c>
      <x:c r="I6" s="7" t="str">
        <x:v>neutral</x:v>
      </x:c>
    </x:row>
    <x:row r="7">
      <x:c r="A7" s="7" t="str">
        <x:v>PL002_Emission_大气</x:v>
      </x:c>
      <x:c r="B7" s="7" t="n">
        <x:v>100</x:v>
      </x:c>
      <x:c r="C7" s="7" t="n">
        <x:v>100</x:v>
      </x:c>
      <x:c r="D7" s="7" t="n">
        <x:v>100</x:v>
      </x:c>
      <x:c r="E7" s="7" t="n">
        <x:v>100</x:v>
      </x:c>
      <x:c r="F7" s="7" t="n">
        <x:v>0</x:v>
      </x:c>
      <x:c r="G7" s="7" t="n">
        <x:v>0</x:v>
      </x:c>
      <x:c r="H7" s="7" t="n">
        <x:v>0</x:v>
      </x:c>
      <x:c r="I7" s="7" t="str">
        <x:v>neutral</x:v>
      </x:c>
    </x:row>
    <x:row r="8">
      <x:c r="A8" s="7" t="str">
        <x:v>PL002_Emission_噪声</x:v>
      </x:c>
      <x:c r="B8" s="7" t="n">
        <x:v>100</x:v>
      </x:c>
      <x:c r="C8" s="7" t="n">
        <x:v>100</x:v>
      </x:c>
      <x:c r="D8" s="7" t="n">
        <x:v>100</x:v>
      </x:c>
      <x:c r="E8" s="7" t="n">
        <x:v>100</x:v>
      </x:c>
      <x:c r="F8" s="7" t="n">
        <x:v>0</x:v>
      </x:c>
      <x:c r="G8" s="7" t="n">
        <x:v>0</x:v>
      </x:c>
      <x:c r="H8" s="7" t="n">
        <x:v>0</x:v>
      </x:c>
      <x:c r="I8" s="7" t="str">
        <x:v>neutral</x:v>
      </x:c>
    </x:row>
    <x:row r="9">
      <x:c r="A9" s="7" t="str">
        <x:v>PL002_Emission_固体</x:v>
      </x:c>
      <x:c r="B9" s="7" t="n">
        <x:v>83.33</x:v>
      </x:c>
      <x:c r="C9" s="7" t="n">
        <x:v>83.33</x:v>
      </x:c>
      <x:c r="D9" s="7" t="n">
        <x:v>83.33</x:v>
      </x:c>
      <x:c r="E9" s="7" t="n">
        <x:v>83.33</x:v>
      </x:c>
      <x:c r="F9" s="7" t="n">
        <x:v>0</x:v>
      </x:c>
      <x:c r="G9" s="7" t="n">
        <x:v>0</x:v>
      </x:c>
      <x:c r="H9" s="7" t="n">
        <x:v>0</x:v>
      </x:c>
      <x:c r="I9" s="7" t="str">
        <x:v>neutral</x:v>
      </x:c>
    </x:row>
    <x:row r="10">
      <x:c r="A10" s="7" t="str">
        <x:v>PL003_V01_Q01</x:v>
      </x:c>
      <x:c r="B10" s="7" t="n">
        <x:v>100</x:v>
      </x:c>
      <x:c r="C10" s="7" t="n">
        <x:v>100</x:v>
      </x:c>
      <x:c r="D10" s="7" t="n">
        <x:v>100</x:v>
      </x:c>
      <x:c r="E10" s="7" t="n">
        <x:v>100</x:v>
      </x:c>
      <x:c r="F10" s="7" t="n">
        <x:v>0</x:v>
      </x:c>
      <x:c r="G10" s="7" t="n">
        <x:v>0</x:v>
      </x:c>
      <x:c r="H10" s="7" t="n">
        <x:v>0</x:v>
      </x:c>
      <x:c r="I10" s="7" t="str">
        <x:v>neutral</x:v>
      </x:c>
    </x:row>
    <x:row r="11">
      <x:c r="A11" s="7" t="str">
        <x:v>PL003_V01_Q03</x:v>
      </x:c>
      <x:c r="B11" s="7" t="n">
        <x:v>83.33</x:v>
      </x:c>
      <x:c r="C11" s="7" t="n">
        <x:v>83.33</x:v>
      </x:c>
      <x:c r="D11" s="7" t="n">
        <x:v>83.33</x:v>
      </x:c>
      <x:c r="E11" s="7" t="n">
        <x:v>83.33</x:v>
      </x:c>
      <x:c r="F11" s="7" t="n">
        <x:v>0</x:v>
      </x:c>
      <x:c r="G11" s="7" t="n">
        <x:v>0</x:v>
      </x:c>
      <x:c r="H11" s="7" t="n">
        <x:v>0</x:v>
      </x:c>
      <x:c r="I11" s="7" t="str">
        <x:v>neutral</x:v>
      </x:c>
    </x:row>
    <x:row r="12">
      <x:c r="A12" s="7" t="str">
        <x:v>PL003_Emission_水污</x:v>
      </x:c>
      <x:c r="B12" s="7" t="n">
        <x:v>83.33</x:v>
      </x:c>
      <x:c r="C12" s="7" t="n">
        <x:v>83.33</x:v>
      </x:c>
      <x:c r="D12" s="7" t="n">
        <x:v>83.33</x:v>
      </x:c>
      <x:c r="E12" s="7" t="n">
        <x:v>83.33</x:v>
      </x:c>
      <x:c r="F12" s="7" t="n">
        <x:v>0</x:v>
      </x:c>
      <x:c r="G12" s="7" t="n">
        <x:v>0</x:v>
      </x:c>
      <x:c r="H12" s="7" t="n">
        <x:v>0</x:v>
      </x:c>
      <x:c r="I12" s="7" t="str">
        <x:v>neutral</x:v>
      </x:c>
    </x:row>
    <x:row r="13">
      <x:c r="A13" s="7" t="str">
        <x:v>PL003_Emission_噪声</x:v>
      </x:c>
      <x:c r="B13" s="7" t="n">
        <x:v>100</x:v>
      </x:c>
      <x:c r="C13" s="7" t="n">
        <x:v>100</x:v>
      </x:c>
      <x:c r="D13" s="7" t="n">
        <x:v>83.33</x:v>
      </x:c>
      <x:c r="E13" s="7" t="n">
        <x:v>83.33</x:v>
      </x:c>
      <x:c r="F13" s="7" t="n">
        <x:v>0</x:v>
      </x:c>
      <x:c r="G13" s="7" t="n">
        <x:v>-16.67</x:v>
      </x:c>
      <x:c r="H13" s="7" t="n">
        <x:v>0</x:v>
      </x:c>
      <x:c r="I13" s="7" t="str">
        <x:v>neutral</x:v>
      </x:c>
    </x:row>
    <x:row r="14">
      <x:c r="A14" s="7" t="str">
        <x:v>PL003_Emission_固体</x:v>
      </x:c>
      <x:c r="B14" s="7" t="n">
        <x:v>100</x:v>
      </x:c>
      <x:c r="C14" s="7" t="n">
        <x:v>100</x:v>
      </x:c>
      <x:c r="D14" s="7" t="n">
        <x:v>100</x:v>
      </x:c>
      <x:c r="E14" s="7" t="n">
        <x:v>100</x:v>
      </x:c>
      <x:c r="F14" s="7" t="n">
        <x:v>0</x:v>
      </x:c>
      <x:c r="G14" s="7" t="n">
        <x:v>0</x:v>
      </x:c>
      <x:c r="H14" s="7" t="n">
        <x:v>0</x:v>
      </x:c>
      <x:c r="I14" s="7" t="str">
        <x:v>neutral</x:v>
      </x:c>
    </x:row>
    <x:row r="15">
      <x:c r="A15" s="7" t="str">
        <x:v>PL004_V01_Q01</x:v>
      </x:c>
      <x:c r="B15" s="7" t="n">
        <x:v>100</x:v>
      </x:c>
      <x:c r="C15" s="7" t="n">
        <x:v>100</x:v>
      </x:c>
      <x:c r="D15" s="7" t="n">
        <x:v>100</x:v>
      </x:c>
      <x:c r="E15" s="7" t="n">
        <x:v>83.33</x:v>
      </x:c>
      <x:c r="F15" s="7" t="n">
        <x:v>-8.335</x:v>
      </x:c>
      <x:c r="G15" s="7" t="n">
        <x:v>-8.335</x:v>
      </x:c>
      <x:c r="H15" s="7" t="n">
        <x:v>-16.67</x:v>
      </x:c>
      <x:c r="I15" s="7" t="str">
        <x:v>antagonism</x:v>
      </x:c>
    </x:row>
    <x:row r="16">
      <x:c r="A16" s="7" t="str">
        <x:v>PL004_Emission_水污</x:v>
      </x:c>
      <x:c r="B16" s="7" t="n">
        <x:v>83.33</x:v>
      </x:c>
      <x:c r="C16" s="7" t="n">
        <x:v>100</x:v>
      </x:c>
      <x:c r="D16" s="7" t="n">
        <x:v>83.33</x:v>
      </x:c>
      <x:c r="E16" s="7" t="n">
        <x:v>100</x:v>
      </x:c>
      <x:c r="F16" s="7" t="n">
        <x:v>16.67</x:v>
      </x:c>
      <x:c r="G16" s="7" t="n">
        <x:v>0</x:v>
      </x:c>
      <x:c r="H16" s="7" t="n">
        <x:v>0</x:v>
      </x:c>
      <x:c r="I16" s="7" t="str">
        <x:v>neutral</x:v>
      </x:c>
    </x:row>
    <x:row r="17">
      <x:c r="A17" s="7" t="str">
        <x:v>PL004_Emission_噪声</x:v>
      </x:c>
      <x:c r="B17" s="7" t="n">
        <x:v>100</x:v>
      </x:c>
      <x:c r="C17" s="7" t="n">
        <x:v>100</x:v>
      </x:c>
      <x:c r="D17" s="7" t="n">
        <x:v>100</x:v>
      </x:c>
      <x:c r="E17" s="7" t="n">
        <x:v>100</x:v>
      </x:c>
      <x:c r="F17" s="7" t="n">
        <x:v>0</x:v>
      </x:c>
      <x:c r="G17" s="7" t="n">
        <x:v>0</x:v>
      </x:c>
      <x:c r="H17" s="7" t="n">
        <x:v>0</x:v>
      </x:c>
      <x:c r="I17" s="7" t="str">
        <x:v>neutral</x:v>
      </x:c>
    </x:row>
    <x:row r="18">
      <x:c r="A18" s="7" t="str">
        <x:v>PL004_Emission_固体</x:v>
      </x:c>
      <x:c r="B18" s="7" t="n">
        <x:v>100</x:v>
      </x:c>
      <x:c r="C18" s="7" t="n">
        <x:v>83.33</x:v>
      </x:c>
      <x:c r="D18" s="7" t="n">
        <x:v>100</x:v>
      </x:c>
      <x:c r="E18" s="7" t="n">
        <x:v>100</x:v>
      </x:c>
      <x:c r="F18" s="7" t="n">
        <x:v>-8.335</x:v>
      </x:c>
      <x:c r="G18" s="7" t="n">
        <x:v>8.335</x:v>
      </x:c>
      <x:c r="H18" s="7" t="n">
        <x:v>16.67</x:v>
      </x:c>
      <x:c r="I18" s="7" t="str">
        <x:v>synergy</x:v>
      </x:c>
    </x:row>
    <x:row r="19">
      <x:c r="A19" s="7" t="str">
        <x:v>PL005_Emission_水污</x:v>
      </x:c>
      <x:c r="B19" s="7" t="n">
        <x:v>66.67</x:v>
      </x:c>
      <x:c r="C19" s="7" t="n">
        <x:v>100</x:v>
      </x:c>
      <x:c r="D19" s="7" t="n">
        <x:v>66.67</x:v>
      </x:c>
      <x:c r="E19" s="7" t="n">
        <x:v>100</x:v>
      </x:c>
      <x:c r="F19" s="7" t="n">
        <x:v>33.33</x:v>
      </x:c>
      <x:c r="G19" s="7" t="n">
        <x:v>0</x:v>
      </x:c>
      <x:c r="H19" s="7" t="n">
        <x:v>0</x:v>
      </x:c>
      <x:c r="I19" s="7" t="str">
        <x:v>neutral</x:v>
      </x:c>
    </x:row>
    <x:row r="20">
      <x:c r="A20" s="7" t="str">
        <x:v>PL005_Emission_噪声</x:v>
      </x:c>
      <x:c r="B20" s="7" t="n">
        <x:v>100</x:v>
      </x:c>
      <x:c r="C20" s="7" t="n">
        <x:v>100</x:v>
      </x:c>
      <x:c r="D20" s="7" t="n">
        <x:v>100</x:v>
      </x:c>
      <x:c r="E20" s="7" t="n">
        <x:v>100</x:v>
      </x:c>
      <x:c r="F20" s="7" t="n">
        <x:v>0</x:v>
      </x:c>
      <x:c r="G20" s="7" t="n">
        <x:v>0</x:v>
      </x:c>
      <x:c r="H20" s="7" t="n">
        <x:v>0</x:v>
      </x:c>
      <x:c r="I20" s="7" t="str">
        <x:v>neutral</x:v>
      </x:c>
    </x:row>
    <x:row r="21">
      <x:c r="A21" s="7" t="str">
        <x:v>PL005_Emission_固体</x:v>
      </x:c>
      <x:c r="B21" s="7" t="n">
        <x:v>100</x:v>
      </x:c>
      <x:c r="C21" s="7" t="n">
        <x:v>66.67</x:v>
      </x:c>
      <x:c r="D21" s="7" t="n">
        <x:v>100</x:v>
      </x:c>
      <x:c r="E21" s="7" t="n">
        <x:v>100</x:v>
      </x:c>
      <x:c r="F21" s="7" t="n">
        <x:v>-16.665</x:v>
      </x:c>
      <x:c r="G21" s="7" t="n">
        <x:v>16.665</x:v>
      </x:c>
      <x:c r="H21" s="7" t="n">
        <x:v>33.33</x:v>
      </x:c>
      <x:c r="I21" s="7" t="str">
        <x:v>synergy</x:v>
      </x:c>
    </x:row>
    <x:row r="22">
      <x:c r="A22" s="7" t="str">
        <x:v>PL006_EnvQuality_Q01</x:v>
      </x:c>
      <x:c r="B22" s="7" t="n">
        <x:v>83.33</x:v>
      </x:c>
      <x:c r="C22" s="7" t="n">
        <x:v>66.67</x:v>
      </x:c>
      <x:c r="D22" s="7" t="n">
        <x:v>83.33</x:v>
      </x:c>
      <x:c r="E22" s="7" t="n">
        <x:v>100</x:v>
      </x:c>
      <x:c r="F22" s="7" t="n">
        <x:v>0.005</x:v>
      </x:c>
      <x:c r="G22" s="7" t="n">
        <x:v>16.665</x:v>
      </x:c>
      <x:c r="H22" s="7" t="n">
        <x:v>33.33</x:v>
      </x:c>
      <x:c r="I22" s="7" t="str">
        <x:v>synergy</x:v>
      </x:c>
    </x:row>
  </x:sheetData>
  <x:pageMargins left="0.7" right="0.7" top="0.75" bottom="0.75" header="0.3" footer="0.3"/>
  <x:tableParts count="1">
    <x:tablePart xmlns:r="http://schemas.openxmlformats.org/officeDocument/2006/relationships" r:id="Re91107cc2caf43c3"/>
  </x:tableParts>
</x:worksheet>
</file>